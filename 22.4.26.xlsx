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wshgroup-my.sharepoint.com/personal/lwotton_holroydhowe_com/Documents/"/>
    </mc:Choice>
  </mc:AlternateContent>
  <xr:revisionPtr revIDLastSave="0" documentId="8_{BB89D9EB-89D6-4716-B78B-42F9E14A4E27}" xr6:coauthVersionLast="47" xr6:coauthVersionMax="47" xr10:uidLastSave="{00000000-0000-0000-0000-000000000000}"/>
  <bookViews>
    <workbookView activeTab="11" windowHeight="10300" windowWidth="19420" xWindow="-110" xr2:uid="{00000000-000D-0000-FFFF-FFFF00000000}" yWindow="-110"/>
  </bookViews>
  <sheets>
    <sheet name="Summary" sheetId="1" r:id="rId1"/>
    <sheet name="Dry_Stores" sheetId="2" r:id="rId2"/>
    <sheet name="Pastry" sheetId="3" r:id="rId3"/>
    <sheet name="FOH" sheetId="4" r:id="rId4"/>
    <sheet name="Fish" sheetId="5" r:id="rId5"/>
    <sheet name="Bakery" sheetId="6" r:id="rId6"/>
    <sheet name="Meat" sheetId="7" r:id="rId7"/>
    <sheet name="Frozen" sheetId="8" r:id="rId8"/>
    <sheet name="Dairy" sheetId="9" r:id="rId9"/>
    <sheet name="Fruit_&amp;_Veg" sheetId="10" r:id="rId10"/>
    <sheet name="Retail" sheetId="11" r:id="rId11"/>
    <sheet name="Cleaning" sheetId="12" r:id="rId12"/>
    <sheet name="Disposables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<sst xmlns="http://schemas.openxmlformats.org/spreadsheetml/2006/main" count="1512" uniqueCount="1002">
  <si>
    <t>holroyd howe</t>
  </si>
  <si>
    <t>Check prices regulary</t>
  </si>
  <si>
    <t>Stock Sumary         W/E</t>
  </si>
  <si>
    <t>22.04.26</t>
  </si>
  <si>
    <t>Food Totals</t>
  </si>
  <si>
    <t>Dry stores</t>
  </si>
  <si>
    <t>FOH</t>
  </si>
  <si>
    <t>Fish</t>
  </si>
  <si>
    <t>Frozen</t>
  </si>
  <si>
    <t>Bakery</t>
  </si>
  <si>
    <t>Meat</t>
  </si>
  <si>
    <t>Dairy</t>
  </si>
  <si>
    <t>Fruit &amp; Veg</t>
  </si>
  <si>
    <t>Pastry</t>
  </si>
  <si>
    <t>Retail</t>
  </si>
  <si>
    <t>FOOD TOTAL</t>
  </si>
  <si>
    <t>CLEANING TOTAL</t>
  </si>
  <si>
    <t>DISPOSABLES TOTAL</t>
  </si>
  <si>
    <t>DRY STORES</t>
  </si>
  <si>
    <t>ITEM</t>
  </si>
  <si>
    <t>UNIT</t>
  </si>
  <si>
    <t>PRICE</t>
  </si>
  <si>
    <t>QUANTITY</t>
  </si>
  <si>
    <t>TOTAL</t>
  </si>
  <si>
    <t>Pulses &amp; Grains</t>
  </si>
  <si>
    <t>Misc invoices bidfood/ foodari</t>
  </si>
  <si>
    <t xml:space="preserve">black eyed beans </t>
  </si>
  <si>
    <t>3kg</t>
  </si>
  <si>
    <t xml:space="preserve">Cous Cous Giant  </t>
  </si>
  <si>
    <t>1kg</t>
  </si>
  <si>
    <t>lentils</t>
  </si>
  <si>
    <t>moroccan cous cous</t>
  </si>
  <si>
    <t>1.5g</t>
  </si>
  <si>
    <t>indian cous cous</t>
  </si>
  <si>
    <t>1.5kg</t>
  </si>
  <si>
    <t>3 colour quinoa</t>
  </si>
  <si>
    <t>500g</t>
  </si>
  <si>
    <t>Pasta &amp; Rice</t>
  </si>
  <si>
    <t>chop suye noodles</t>
  </si>
  <si>
    <t>9kg</t>
  </si>
  <si>
    <t>Egg Noodles</t>
  </si>
  <si>
    <t>Rice noodles</t>
  </si>
  <si>
    <t>Gnocci</t>
  </si>
  <si>
    <t>Gluten Free Pasta</t>
  </si>
  <si>
    <t>Fusilli Pasta</t>
  </si>
  <si>
    <t>Penne Pasta</t>
  </si>
  <si>
    <t>Lasagne - Gluten free</t>
  </si>
  <si>
    <t>250gr</t>
  </si>
  <si>
    <t>Lasagne Sheets</t>
  </si>
  <si>
    <t>Macaroni</t>
  </si>
  <si>
    <t>Spaghetti - Gluten free</t>
  </si>
  <si>
    <t>Rice</t>
  </si>
  <si>
    <t>Rice arborio</t>
  </si>
  <si>
    <t>Long grain easy cook</t>
  </si>
  <si>
    <t>15kg</t>
  </si>
  <si>
    <t>Bulgar wheat</t>
  </si>
  <si>
    <t>Rice pudding</t>
  </si>
  <si>
    <t>Tinned Goods</t>
  </si>
  <si>
    <t>Tuna Chunks</t>
  </si>
  <si>
    <t>1.7KG</t>
  </si>
  <si>
    <t>Solid Pack apples</t>
  </si>
  <si>
    <t>2.5kg</t>
  </si>
  <si>
    <t>Baked Beans</t>
  </si>
  <si>
    <t>3.12 kg</t>
  </si>
  <si>
    <t>Butter beans</t>
  </si>
  <si>
    <t>Mushy Peas</t>
  </si>
  <si>
    <t>2.52kg</t>
  </si>
  <si>
    <t>5 bean salad</t>
  </si>
  <si>
    <t>800g</t>
  </si>
  <si>
    <t>Chick Peas</t>
  </si>
  <si>
    <t>Condensed milk</t>
  </si>
  <si>
    <t>397g</t>
  </si>
  <si>
    <t>Coconut milk</t>
  </si>
  <si>
    <t>400ml</t>
  </si>
  <si>
    <t>Kidney Beans</t>
  </si>
  <si>
    <t>Tinned Pineapple</t>
  </si>
  <si>
    <t>Chopped Tomatoes</t>
  </si>
  <si>
    <t>5kg</t>
  </si>
  <si>
    <t>Rhubarb</t>
  </si>
  <si>
    <t>2.86kg</t>
  </si>
  <si>
    <t>peach clices syrup</t>
  </si>
  <si>
    <t>820g</t>
  </si>
  <si>
    <t>chopped tomato in juicw</t>
  </si>
  <si>
    <t xml:space="preserve">sweetcorn </t>
  </si>
  <si>
    <t>Herbs &amp; Spices</t>
  </si>
  <si>
    <t>Tomato Pasta</t>
  </si>
  <si>
    <t>Cajun seasoning</t>
  </si>
  <si>
    <t>650g</t>
  </si>
  <si>
    <t>Cinnamon sticks Bidfood</t>
  </si>
  <si>
    <t>170g</t>
  </si>
  <si>
    <t>Chilli Powder</t>
  </si>
  <si>
    <t>450g</t>
  </si>
  <si>
    <t>Chillies crushed</t>
  </si>
  <si>
    <t>400g</t>
  </si>
  <si>
    <t>Coriander ground</t>
  </si>
  <si>
    <t>Ground Cumin</t>
  </si>
  <si>
    <t>cinnamon ground</t>
  </si>
  <si>
    <t>Cumin - seeds</t>
  </si>
  <si>
    <t>kg</t>
  </si>
  <si>
    <t>Garam marsala</t>
  </si>
  <si>
    <t>405g</t>
  </si>
  <si>
    <t>Garlic powder</t>
  </si>
  <si>
    <t>Fajita mix</t>
  </si>
  <si>
    <t>530g</t>
  </si>
  <si>
    <t>Chinese 5 Spice</t>
  </si>
  <si>
    <t>Ground White pepper</t>
  </si>
  <si>
    <t>550g</t>
  </si>
  <si>
    <t>Mixed spice</t>
  </si>
  <si>
    <t>Nutmeg</t>
  </si>
  <si>
    <t>cajun spice500g</t>
  </si>
  <si>
    <t>Paprika</t>
  </si>
  <si>
    <t>425g</t>
  </si>
  <si>
    <t>Paprika smoked</t>
  </si>
  <si>
    <t>Pepper - black cracked</t>
  </si>
  <si>
    <t>Jerk seasoning</t>
  </si>
  <si>
    <t>320g</t>
  </si>
  <si>
    <t>Salt - Cooking</t>
  </si>
  <si>
    <t>table salt</t>
  </si>
  <si>
    <t>6kg</t>
  </si>
  <si>
    <t>Salt - Coarse</t>
  </si>
  <si>
    <t>750g</t>
  </si>
  <si>
    <t>Turmeric</t>
  </si>
  <si>
    <t>Basil</t>
  </si>
  <si>
    <t>220g</t>
  </si>
  <si>
    <t>Bay Leaves</t>
  </si>
  <si>
    <t>240g</t>
  </si>
  <si>
    <t>Mixed Herbs</t>
  </si>
  <si>
    <t>140G</t>
  </si>
  <si>
    <t>Oregano</t>
  </si>
  <si>
    <t>190g</t>
  </si>
  <si>
    <t>Rosemary</t>
  </si>
  <si>
    <t>Star anise</t>
  </si>
  <si>
    <t>Tarragon</t>
  </si>
  <si>
    <t>140g</t>
  </si>
  <si>
    <t>Pepper corns whole</t>
  </si>
  <si>
    <t>Thyme</t>
  </si>
  <si>
    <t>210g</t>
  </si>
  <si>
    <t>Seeds</t>
  </si>
  <si>
    <t>Pumpkin Seeds</t>
  </si>
  <si>
    <t>1KG</t>
  </si>
  <si>
    <t>Poppy seeds</t>
  </si>
  <si>
    <t>600g</t>
  </si>
  <si>
    <t>Sunflower Seeds</t>
  </si>
  <si>
    <t>Stocks &amp; Gravy</t>
  </si>
  <si>
    <t>Bouillon - Beef</t>
  </si>
  <si>
    <t>2kg</t>
  </si>
  <si>
    <t>Bouillon - Chicken</t>
  </si>
  <si>
    <t xml:space="preserve">Bouillon - Vegetable  </t>
  </si>
  <si>
    <t>Gravy granules</t>
  </si>
  <si>
    <t>Dressings &amp; Sauces</t>
  </si>
  <si>
    <t>Barbeque Sauce</t>
  </si>
  <si>
    <t>1 Litre</t>
  </si>
  <si>
    <t>Black bean Sauce</t>
  </si>
  <si>
    <t>2.25 kg</t>
  </si>
  <si>
    <t>HP Sauce(small)</t>
  </si>
  <si>
    <t>285gr</t>
  </si>
  <si>
    <t>Cranberry sauce</t>
  </si>
  <si>
    <t>French dressing</t>
  </si>
  <si>
    <t>2.27Litre</t>
  </si>
  <si>
    <t>Green pesto</t>
  </si>
  <si>
    <t>950g</t>
  </si>
  <si>
    <t>Mango chutney</t>
  </si>
  <si>
    <t>Mayonnaise</t>
  </si>
  <si>
    <t>1ltr</t>
  </si>
  <si>
    <t>Mustard English</t>
  </si>
  <si>
    <t>2.2ltr</t>
  </si>
  <si>
    <t>Mustard - wholegrain</t>
  </si>
  <si>
    <t>2.27 Litre</t>
  </si>
  <si>
    <t>Salad Cream</t>
  </si>
  <si>
    <t>2.27LTR</t>
  </si>
  <si>
    <t>Ceasar Dressing</t>
  </si>
  <si>
    <t>2.25ltr</t>
  </si>
  <si>
    <t>Tomato Ketchup</t>
  </si>
  <si>
    <t>2.27ltr</t>
  </si>
  <si>
    <t>Heinz ketchup</t>
  </si>
  <si>
    <t>4ltr</t>
  </si>
  <si>
    <t>yogurt &amp; mint dressing</t>
  </si>
  <si>
    <t>Tartare sauce</t>
  </si>
  <si>
    <t>Horseradish</t>
  </si>
  <si>
    <t>4.5kg</t>
  </si>
  <si>
    <t>Oriental sauses</t>
  </si>
  <si>
    <t xml:space="preserve">soy sauce </t>
  </si>
  <si>
    <t>1.9 L</t>
  </si>
  <si>
    <t>WIN YIP HOI SIN SAUCE</t>
  </si>
  <si>
    <t>2 ltr</t>
  </si>
  <si>
    <t>Rice wine vinegar</t>
  </si>
  <si>
    <t>Blue Dragon chilli sauce</t>
  </si>
  <si>
    <t>Panko</t>
  </si>
  <si>
    <t>EVFAV SWEET CHILLI SAUCE</t>
  </si>
  <si>
    <t>1 litre</t>
  </si>
  <si>
    <t>Oils &amp; Vinegars</t>
  </si>
  <si>
    <t>Oil - Vegetable long life oleco</t>
  </si>
  <si>
    <t>15ltr</t>
  </si>
  <si>
    <t>Oil Vegetable 5ltr</t>
  </si>
  <si>
    <t>5ltr</t>
  </si>
  <si>
    <t>Vinegar - Balsamic</t>
  </si>
  <si>
    <t>2Litre</t>
  </si>
  <si>
    <t>Vinegar - Malt</t>
  </si>
  <si>
    <t>5 litre</t>
  </si>
  <si>
    <t>Vinegar - Red wine</t>
  </si>
  <si>
    <t>5 Litre</t>
  </si>
  <si>
    <t>Prep Spray</t>
  </si>
  <si>
    <t>600ml</t>
  </si>
  <si>
    <t>Vinegar - White wine</t>
  </si>
  <si>
    <t>Accompniments</t>
  </si>
  <si>
    <t>Prawn Crackers Sharwoods</t>
  </si>
  <si>
    <t>Poppadoms mini - Knorr (3663)</t>
  </si>
  <si>
    <t>Santa Maria Tortilla chips</t>
  </si>
  <si>
    <t>475kg</t>
  </si>
  <si>
    <t>Taco shells</t>
  </si>
  <si>
    <t>225g</t>
  </si>
  <si>
    <t>Deli Items</t>
  </si>
  <si>
    <t>Capers</t>
  </si>
  <si>
    <t>2.25kg</t>
  </si>
  <si>
    <t>capers baby</t>
  </si>
  <si>
    <t>1 kg</t>
  </si>
  <si>
    <t>Ghurkins</t>
  </si>
  <si>
    <t>Bidfood Black Olives</t>
  </si>
  <si>
    <t>2.26KG</t>
  </si>
  <si>
    <t xml:space="preserve"> Bidfood Green olives</t>
  </si>
  <si>
    <t>Breakfast</t>
  </si>
  <si>
    <t>Schar gluten  free cornflakes</t>
  </si>
  <si>
    <t>25g</t>
  </si>
  <si>
    <t>Cornflakes</t>
  </si>
  <si>
    <t>Frosties</t>
  </si>
  <si>
    <t>35g box</t>
  </si>
  <si>
    <t>Granola Mix</t>
  </si>
  <si>
    <t>325g</t>
  </si>
  <si>
    <t>Muesli</t>
  </si>
  <si>
    <t>Rice Krispies</t>
  </si>
  <si>
    <t>box</t>
  </si>
  <si>
    <t>Rice Krisples</t>
  </si>
  <si>
    <t>Cherios</t>
  </si>
  <si>
    <t>375g</t>
  </si>
  <si>
    <t>Weetabix catering x48</t>
  </si>
  <si>
    <t>Porridge oats</t>
  </si>
  <si>
    <t>12.5kg</t>
  </si>
  <si>
    <t>Jim Jams</t>
  </si>
  <si>
    <t>Coronet Crackers</t>
  </si>
  <si>
    <t>x150</t>
  </si>
  <si>
    <t>total</t>
  </si>
  <si>
    <t>PASTRY</t>
  </si>
  <si>
    <t>CUSTARD POWDER</t>
  </si>
  <si>
    <t>3.5 kg</t>
  </si>
  <si>
    <t>Desiccated coconut</t>
  </si>
  <si>
    <t>Digestive biscuit bulk pack</t>
  </si>
  <si>
    <t>300g</t>
  </si>
  <si>
    <t>bourbon</t>
  </si>
  <si>
    <t>Dried Fruit</t>
  </si>
  <si>
    <t>Apricots  chopped</t>
  </si>
  <si>
    <t>Banana chips</t>
  </si>
  <si>
    <t>Cranberrys</t>
  </si>
  <si>
    <t>Dates</t>
  </si>
  <si>
    <t>Glace Cherrys</t>
  </si>
  <si>
    <t>apricots whole</t>
  </si>
  <si>
    <t>Prunes</t>
  </si>
  <si>
    <t>Sultanas</t>
  </si>
  <si>
    <t>Flour</t>
  </si>
  <si>
    <t>Bread roll mix</t>
  </si>
  <si>
    <t>3.5kg</t>
  </si>
  <si>
    <t>Cornflour</t>
  </si>
  <si>
    <t>strong flour</t>
  </si>
  <si>
    <t>16kg</t>
  </si>
  <si>
    <t>Plain</t>
  </si>
  <si>
    <t>16 kg</t>
  </si>
  <si>
    <t>plain flour</t>
  </si>
  <si>
    <t>Self Raising</t>
  </si>
  <si>
    <t>Wholemeal flour</t>
  </si>
  <si>
    <t>Jelly Orange</t>
  </si>
  <si>
    <t>Jelly Raspberry</t>
  </si>
  <si>
    <t>Jelly Lime</t>
  </si>
  <si>
    <t>Jelly Strawberry</t>
  </si>
  <si>
    <t>Veg Jelly orange</t>
  </si>
  <si>
    <t>Veg Jelly strawberry</t>
  </si>
  <si>
    <t>Sugars</t>
  </si>
  <si>
    <t>Caster sugar</t>
  </si>
  <si>
    <t>25kg</t>
  </si>
  <si>
    <t>Demerara</t>
  </si>
  <si>
    <t>Granulated sugar</t>
  </si>
  <si>
    <t>Tate &amp; Lyle icing</t>
  </si>
  <si>
    <t>Soft dark brown</t>
  </si>
  <si>
    <t>Soft light brown</t>
  </si>
  <si>
    <t>Sugar strands</t>
  </si>
  <si>
    <t>Golden syrup</t>
  </si>
  <si>
    <t>7.26 kg</t>
  </si>
  <si>
    <t>Maple syrup</t>
  </si>
  <si>
    <t>454g</t>
  </si>
  <si>
    <t>Honey</t>
  </si>
  <si>
    <t>680g</t>
  </si>
  <si>
    <t>Baking</t>
  </si>
  <si>
    <t xml:space="preserve">Baking powder  </t>
  </si>
  <si>
    <t>Bicarbonate</t>
  </si>
  <si>
    <t>Bronze leaf gelatine</t>
  </si>
  <si>
    <t>Chocolate</t>
  </si>
  <si>
    <t>CALLEBAUT WHITE CHOC CALLET</t>
  </si>
  <si>
    <t>CALLEBAUT DARK CHOC CALLET</t>
  </si>
  <si>
    <t>2.5 kg</t>
  </si>
  <si>
    <t>CALLEBAUT MILK CHOC CALLET</t>
  </si>
  <si>
    <t>2.5KG</t>
  </si>
  <si>
    <t>Lemon juice (3663)</t>
  </si>
  <si>
    <t>500ml</t>
  </si>
  <si>
    <t>Vanilla flavour</t>
  </si>
  <si>
    <t>Jams &amp; Pie Fillings</t>
  </si>
  <si>
    <t>Black cherry pie filling</t>
  </si>
  <si>
    <t>1 x2.5kg</t>
  </si>
  <si>
    <t>Mixed fruit</t>
  </si>
  <si>
    <t>2.27 kg</t>
  </si>
  <si>
    <t>Marmalade</t>
  </si>
  <si>
    <t>Carte dor Raspberry Coulis</t>
  </si>
  <si>
    <t>Toffee Sauce</t>
  </si>
  <si>
    <t>Lemon Curd</t>
  </si>
  <si>
    <t>2.72KG</t>
  </si>
  <si>
    <t>Strawberry Jam</t>
  </si>
  <si>
    <t>2.72kg</t>
  </si>
  <si>
    <t>Tart cases</t>
  </si>
  <si>
    <t>blinis</t>
  </si>
  <si>
    <t>box x240</t>
  </si>
  <si>
    <t>canapes tarts</t>
  </si>
  <si>
    <t>96 pcs</t>
  </si>
  <si>
    <t>Meringue nests</t>
  </si>
  <si>
    <t>9*8</t>
  </si>
  <si>
    <t>Gluten Free Cakemix</t>
  </si>
  <si>
    <t xml:space="preserve"> Mc Dougals egg white</t>
  </si>
  <si>
    <t>Fgluten Free Flour - SR</t>
  </si>
  <si>
    <t>1.5KG</t>
  </si>
  <si>
    <t>Gluten Free Flour - Plain</t>
  </si>
  <si>
    <t>Mini Marshmallows</t>
  </si>
  <si>
    <t>550gm</t>
  </si>
  <si>
    <t>Pink &amp; White Marshmallows</t>
  </si>
  <si>
    <t>Dove Farm GF Lemon biscuits</t>
  </si>
  <si>
    <t>150g</t>
  </si>
  <si>
    <t>Vegan brownie</t>
  </si>
  <si>
    <t>1xpk 30</t>
  </si>
  <si>
    <t>GF MISC</t>
  </si>
  <si>
    <t>Gluten Free Flapjack</t>
  </si>
  <si>
    <t>Gluten free Brownie to go</t>
  </si>
  <si>
    <t>each</t>
  </si>
  <si>
    <t>Nairns gluten free biscuit</t>
  </si>
  <si>
    <t>Mince pies</t>
  </si>
  <si>
    <t>sage &amp; onion stuffing</t>
  </si>
  <si>
    <t>Gluten free cakes</t>
  </si>
  <si>
    <t>Total</t>
  </si>
  <si>
    <t>Juice &amp; drinks</t>
  </si>
  <si>
    <t>Apple juice</t>
  </si>
  <si>
    <t>Tropical fruit juice</t>
  </si>
  <si>
    <t>Orange juice</t>
  </si>
  <si>
    <t>Apple juice carton</t>
  </si>
  <si>
    <t>Orange juice carton</t>
  </si>
  <si>
    <t>Lemon squash (Brakes)</t>
  </si>
  <si>
    <t>Orange squash (Brakes)</t>
  </si>
  <si>
    <t>Blackcurrant squash</t>
  </si>
  <si>
    <t>Digestive Biscuit</t>
  </si>
  <si>
    <t>x300g</t>
  </si>
  <si>
    <t>Chocolate Digestive</t>
  </si>
  <si>
    <t>Elderflower</t>
  </si>
  <si>
    <t>Harrogatespring water still Glass bootle</t>
  </si>
  <si>
    <t>Milk Chocolate teacakes</t>
  </si>
  <si>
    <t>Harrogatespring water still 330ml</t>
  </si>
  <si>
    <t>1x30</t>
  </si>
  <si>
    <t>Biscuits</t>
  </si>
  <si>
    <t>Rich Tea</t>
  </si>
  <si>
    <t>Bourbon creams ( 12x300g)</t>
  </si>
  <si>
    <t>Tunnocks caramel wafer</t>
  </si>
  <si>
    <t>Gluten free biscuits (bidfood)</t>
  </si>
  <si>
    <t>1*60 pack</t>
  </si>
  <si>
    <t>Custard creams (3663 12x300g)</t>
  </si>
  <si>
    <t>Pink waffers</t>
  </si>
  <si>
    <t>100g</t>
  </si>
  <si>
    <t>Jammy dodgers (Brakes 18 x 140g)</t>
  </si>
  <si>
    <t>140g pack</t>
  </si>
  <si>
    <t>EFAV biscuits assorted</t>
  </si>
  <si>
    <t>Kallo dark chocolate</t>
  </si>
  <si>
    <t>1 box</t>
  </si>
  <si>
    <t>Milky way</t>
  </si>
  <si>
    <t>Coffee &amp; tea</t>
  </si>
  <si>
    <t>Coffee granuals Decaf Nescafe (3663)</t>
  </si>
  <si>
    <t>Coffee granuals Nescafe REFILL</t>
  </si>
  <si>
    <t>Filter coffee</t>
  </si>
  <si>
    <t>60g pouch</t>
  </si>
  <si>
    <t>Cocoa Powder</t>
  </si>
  <si>
    <t>EFAV Chocolate powder</t>
  </si>
  <si>
    <t>Drinking chocolate</t>
  </si>
  <si>
    <t>Drinking chocolate - Cadbury's</t>
  </si>
  <si>
    <t>Penguin</t>
  </si>
  <si>
    <t>Nescafe original</t>
  </si>
  <si>
    <t xml:space="preserve">Teabags Tetley  </t>
  </si>
  <si>
    <t>1540ea</t>
  </si>
  <si>
    <t>Tetley herbal selection</t>
  </si>
  <si>
    <t>box of 20</t>
  </si>
  <si>
    <t>Taylors mint teabags</t>
  </si>
  <si>
    <t>PG TIPS 100 T BAGS</t>
  </si>
  <si>
    <t>1x100 box</t>
  </si>
  <si>
    <t>english breackfast</t>
  </si>
  <si>
    <t>4x box</t>
  </si>
  <si>
    <t>Tea Earl Grey</t>
  </si>
  <si>
    <t>50 per Box</t>
  </si>
  <si>
    <t>twinnings pepper mint</t>
  </si>
  <si>
    <t>20 per box</t>
  </si>
  <si>
    <t>twinnings lemon and ginger</t>
  </si>
  <si>
    <t>Crisps golden wonder</t>
  </si>
  <si>
    <t>case</t>
  </si>
  <si>
    <t>Metcalfs popcorn</t>
  </si>
  <si>
    <t>Rice cakes</t>
  </si>
  <si>
    <t>Shortbread assortment</t>
  </si>
  <si>
    <t>Xmas pud log</t>
  </si>
  <si>
    <t>log</t>
  </si>
  <si>
    <t>Xmas pud individual</t>
  </si>
  <si>
    <t>Xmas mince pie</t>
  </si>
  <si>
    <t>xmas log</t>
  </si>
  <si>
    <t>Sugar</t>
  </si>
  <si>
    <t>La Perouche white</t>
  </si>
  <si>
    <t>La Perouche Brown</t>
  </si>
  <si>
    <t>T&amp;L fairtrade dem sugar sticks brown</t>
  </si>
  <si>
    <t>1x1000</t>
  </si>
  <si>
    <t xml:space="preserve">T&amp;L fairtrade white sugar sticks  </t>
  </si>
  <si>
    <t>Cod fishfingers</t>
  </si>
  <si>
    <t>jumbo fish fingers M&amp;J 35x71g</t>
  </si>
  <si>
    <t>Mackrell fillets (18x2x60-100gr)</t>
  </si>
  <si>
    <t>Pollock fillet breaded 1x24(M&amp;J)7026</t>
  </si>
  <si>
    <t>Bidfood Battered Pollock</t>
  </si>
  <si>
    <t>1x36</t>
  </si>
  <si>
    <t>Pollock fillet</t>
  </si>
  <si>
    <t>1x25</t>
  </si>
  <si>
    <t>Prawn - cold water</t>
  </si>
  <si>
    <t>Gluten free fish finger</t>
  </si>
  <si>
    <t>Gluten free battered pollock</t>
  </si>
  <si>
    <t>60x60 80g</t>
  </si>
  <si>
    <t>Bidfood fishcake</t>
  </si>
  <si>
    <t>x24</t>
  </si>
  <si>
    <t>Smoked salmon</t>
  </si>
  <si>
    <t>890g</t>
  </si>
  <si>
    <t>Bagels</t>
  </si>
  <si>
    <t>Bloomer - granary 800g</t>
  </si>
  <si>
    <t>Hot Dog Rolls (WHD)</t>
  </si>
  <si>
    <t>4's</t>
  </si>
  <si>
    <t>Home Made bread</t>
  </si>
  <si>
    <t>loaf</t>
  </si>
  <si>
    <t>Burger Baps Americana 4.5in bun</t>
  </si>
  <si>
    <t>48's</t>
  </si>
  <si>
    <t>Tortilla Wraps (bidfood)</t>
  </si>
  <si>
    <t>Pitta Bread</t>
  </si>
  <si>
    <t>6pck</t>
  </si>
  <si>
    <t>B free bread</t>
  </si>
  <si>
    <t>Fletchers bread brown</t>
  </si>
  <si>
    <t>xeach</t>
  </si>
  <si>
    <t>Assorted canape bread (10 per box)</t>
  </si>
  <si>
    <t>Hovis white</t>
  </si>
  <si>
    <t>hovis brown</t>
  </si>
  <si>
    <t>Brioche rolls</t>
  </si>
  <si>
    <t>x6</t>
  </si>
  <si>
    <t>Schar GF ciabatta</t>
  </si>
  <si>
    <t>x30</t>
  </si>
  <si>
    <t>Breakfast Muffins WHD</t>
  </si>
  <si>
    <t>x4</t>
  </si>
  <si>
    <t>Brioche Buns WHD</t>
  </si>
  <si>
    <t>1x6</t>
  </si>
  <si>
    <t>Mini Naan</t>
  </si>
  <si>
    <t>16x6x35</t>
  </si>
  <si>
    <t>Cakes &amp; traybakes</t>
  </si>
  <si>
    <t>Jellies</t>
  </si>
  <si>
    <t>Homemade hot pudding</t>
  </si>
  <si>
    <t>homemade flapjack</t>
  </si>
  <si>
    <t>homemade traybakes</t>
  </si>
  <si>
    <t>GF Genius bread</t>
  </si>
  <si>
    <t>GF Flapjack</t>
  </si>
  <si>
    <t>portion</t>
  </si>
  <si>
    <t>GF Caramel shortcake</t>
  </si>
  <si>
    <t>PORTION</t>
  </si>
  <si>
    <t>GF sour dough WHD BAGEL</t>
  </si>
  <si>
    <t>Gluten free Italian GF rolls</t>
  </si>
  <si>
    <t>Gf flapjack</t>
  </si>
  <si>
    <t>1 x 18</t>
  </si>
  <si>
    <t>Bacon - Green Back sliced rindless BPM</t>
  </si>
  <si>
    <t>Bacon bidfood</t>
  </si>
  <si>
    <t>Bacon - streaky</t>
  </si>
  <si>
    <t>5lb</t>
  </si>
  <si>
    <t>Beef</t>
  </si>
  <si>
    <t>Minced beef BPM</t>
  </si>
  <si>
    <t>KG</t>
  </si>
  <si>
    <t>Chuck steak diced</t>
  </si>
  <si>
    <t>Beef Stir Fry</t>
  </si>
  <si>
    <t>Burgers</t>
  </si>
  <si>
    <t>Chicken</t>
  </si>
  <si>
    <t>Diced breast</t>
  </si>
  <si>
    <t>Diced 50/50</t>
  </si>
  <si>
    <t>Chicken strir fry BPM</t>
  </si>
  <si>
    <t>Chicken wings</t>
  </si>
  <si>
    <t>Supreme 5oz boneless BPM</t>
  </si>
  <si>
    <t>Chicken Fillets 4-5oz</t>
  </si>
  <si>
    <t>Chicken thighs bone off</t>
  </si>
  <si>
    <t>Chicken sausage</t>
  </si>
  <si>
    <t>Lamb</t>
  </si>
  <si>
    <t>Diced lamb</t>
  </si>
  <si>
    <t>Minced</t>
  </si>
  <si>
    <t>Hotdogs BPM</t>
  </si>
  <si>
    <t>x18</t>
  </si>
  <si>
    <t>Pork</t>
  </si>
  <si>
    <t>Short Loin pork boned &amp; rolled BPM</t>
  </si>
  <si>
    <t>Pork steaks 4-5oz</t>
  </si>
  <si>
    <t>Pork strog</t>
  </si>
  <si>
    <t xml:space="preserve">  13.13</t>
  </si>
  <si>
    <t>Gammon B&amp;R BPM</t>
  </si>
  <si>
    <t>diced</t>
  </si>
  <si>
    <t>Shoulder</t>
  </si>
  <si>
    <t>Frankfurets BPM</t>
  </si>
  <si>
    <t>Sausage 8's cmb</t>
  </si>
  <si>
    <t>PACK</t>
  </si>
  <si>
    <t>BPM Cocktail 32's</t>
  </si>
  <si>
    <t>BPM chipolatas 16's</t>
  </si>
  <si>
    <t>Ham BPM</t>
  </si>
  <si>
    <t>Gluten free sausage BPM</t>
  </si>
  <si>
    <t>Sausage meat</t>
  </si>
  <si>
    <t>Turkey</t>
  </si>
  <si>
    <t>TURKEY breast boneless BPM</t>
  </si>
  <si>
    <t>TURKEY JOINT</t>
  </si>
  <si>
    <t>5.250kg</t>
  </si>
  <si>
    <t>Cooked Meats</t>
  </si>
  <si>
    <t>Ham -  slice</t>
  </si>
  <si>
    <t>0.5g</t>
  </si>
  <si>
    <t>Sliced cooked turkey BPM</t>
  </si>
  <si>
    <t>sliced turkey (WHD)</t>
  </si>
  <si>
    <t>Slice Roast Beef</t>
  </si>
  <si>
    <t>sliced pastrami</t>
  </si>
  <si>
    <t>Whole Chorizo</t>
  </si>
  <si>
    <t>Bread products</t>
  </si>
  <si>
    <t>Hot dog roll</t>
  </si>
  <si>
    <t>1x48</t>
  </si>
  <si>
    <t>Gluten free pizza bases</t>
  </si>
  <si>
    <t>Naan Bread</t>
  </si>
  <si>
    <t>pck</t>
  </si>
  <si>
    <t>NYBC plain bagel</t>
  </si>
  <si>
    <t>x 48</t>
  </si>
  <si>
    <t>Trad Crumpets</t>
  </si>
  <si>
    <t>x96</t>
  </si>
  <si>
    <t>Burger buns</t>
  </si>
  <si>
    <t>1*48</t>
  </si>
  <si>
    <t>Danish pastries</t>
  </si>
  <si>
    <t>Sultana scone</t>
  </si>
  <si>
    <t>1x50</t>
  </si>
  <si>
    <t>Mini danish Pastry selection</t>
  </si>
  <si>
    <t>Box</t>
  </si>
  <si>
    <t>Oat &amp; rasin cookie</t>
  </si>
  <si>
    <t>1x90</t>
  </si>
  <si>
    <t>Bidfood Croissant pre pack</t>
  </si>
  <si>
    <t>1x32</t>
  </si>
  <si>
    <t xml:space="preserve">Fruit  </t>
  </si>
  <si>
    <t>Blackberries</t>
  </si>
  <si>
    <t>Blueberries</t>
  </si>
  <si>
    <t>Raspberries</t>
  </si>
  <si>
    <t>500 G</t>
  </si>
  <si>
    <t>mango</t>
  </si>
  <si>
    <t>Strawberries</t>
  </si>
  <si>
    <t>Fruit Of The Forest</t>
  </si>
  <si>
    <t>1 KG</t>
  </si>
  <si>
    <t>Vegetables &amp; Potatoes</t>
  </si>
  <si>
    <t>Sliced peppers</t>
  </si>
  <si>
    <t>Peas</t>
  </si>
  <si>
    <t>Sweetcorn</t>
  </si>
  <si>
    <t>fries</t>
  </si>
  <si>
    <t>potato waffles</t>
  </si>
  <si>
    <t>Frozen onions</t>
  </si>
  <si>
    <t>Hash Browns</t>
  </si>
  <si>
    <t>Snack items</t>
  </si>
  <si>
    <t>Cheese &amp; tom pizza slab Bidfood</t>
  </si>
  <si>
    <t>4*box</t>
  </si>
  <si>
    <t>Quorn vegan sausage</t>
  </si>
  <si>
    <t>2-2.04kg</t>
  </si>
  <si>
    <t>Onion Baji's</t>
  </si>
  <si>
    <t>GLUTEN FREE SAUSAGES</t>
  </si>
  <si>
    <t>pkt</t>
  </si>
  <si>
    <t>Frozen Chicken Burgers</t>
  </si>
  <si>
    <t>Sausage Rolls</t>
  </si>
  <si>
    <t>Vegetarian Items</t>
  </si>
  <si>
    <t>Fish pie mix</t>
  </si>
  <si>
    <t>910kg bag</t>
  </si>
  <si>
    <t>Spring rolls</t>
  </si>
  <si>
    <t>18x20g</t>
  </si>
  <si>
    <t>Frys GF Rice &amp; quinoa burger</t>
  </si>
  <si>
    <t>1x6 box</t>
  </si>
  <si>
    <t>Vegan mince</t>
  </si>
  <si>
    <t>Spicy Bean burger</t>
  </si>
  <si>
    <t>Vegetable samosas</t>
  </si>
  <si>
    <t>Quorn sausages 1x40</t>
  </si>
  <si>
    <t>2kg bag</t>
  </si>
  <si>
    <t>Yorkshire puddings</t>
  </si>
  <si>
    <t>1 x 60</t>
  </si>
  <si>
    <t>Ice Creams</t>
  </si>
  <si>
    <t>Ice Cream Vanilla Economy</t>
  </si>
  <si>
    <t>1x4 Ltrs</t>
  </si>
  <si>
    <t>Ice Cream strawberrry economy</t>
  </si>
  <si>
    <t>4 ltrs</t>
  </si>
  <si>
    <t>Ice Cream chocolate economy</t>
  </si>
  <si>
    <t>4 litres</t>
  </si>
  <si>
    <t>Ice cream roll</t>
  </si>
  <si>
    <t>12x250g</t>
  </si>
  <si>
    <t>ROCKET LOLLIES</t>
  </si>
  <si>
    <t>EACH</t>
  </si>
  <si>
    <t>Cheshire Choc ices</t>
  </si>
  <si>
    <t>1 x 8</t>
  </si>
  <si>
    <t>Pastry items</t>
  </si>
  <si>
    <t>Puff pastry sheets</t>
  </si>
  <si>
    <t>16x625g</t>
  </si>
  <si>
    <t>Pastry - Puff sheets ( 1x96</t>
  </si>
  <si>
    <t>Cheese &amp; onion roll</t>
  </si>
  <si>
    <t>108 x 60g</t>
  </si>
  <si>
    <t>Cakes, cookies &amp; sweet items</t>
  </si>
  <si>
    <t>Cookies - pucks</t>
  </si>
  <si>
    <t>Cookie dough - homemade (500g roll)</t>
  </si>
  <si>
    <t>Crumpets</t>
  </si>
  <si>
    <t>96pk</t>
  </si>
  <si>
    <t>doughnuts x 60's</t>
  </si>
  <si>
    <t>Muffin Blueberry Bidfood</t>
  </si>
  <si>
    <t>Churros</t>
  </si>
  <si>
    <t>4kg</t>
  </si>
  <si>
    <t>Double Choc muffins</t>
  </si>
  <si>
    <t>Tea cakes</t>
  </si>
  <si>
    <t>12 x 4 pack</t>
  </si>
  <si>
    <t>SCHAR gluten free ciabatta roll</t>
  </si>
  <si>
    <t>GF Sourdough loaf</t>
  </si>
  <si>
    <t>Waffles - Belgian 55g</t>
  </si>
  <si>
    <t>chocolate brownie</t>
  </si>
  <si>
    <t>gf lemon drizzle</t>
  </si>
  <si>
    <t>gf short cake</t>
  </si>
  <si>
    <t>Vegan chocolate caramel brownie</t>
  </si>
  <si>
    <t>18x60g</t>
  </si>
  <si>
    <t>Waffles - Belgian 90g</t>
  </si>
  <si>
    <t>Bidfood mini baguettes</t>
  </si>
  <si>
    <t>1x250</t>
  </si>
  <si>
    <t>homemade traybake cake</t>
  </si>
  <si>
    <t>Flapjack portion</t>
  </si>
  <si>
    <t>FELTONFLEET BISCUITS</t>
  </si>
  <si>
    <t>Pepperoni</t>
  </si>
  <si>
    <t>Kg</t>
  </si>
  <si>
    <t>Yarde Farm Ice Cream</t>
  </si>
  <si>
    <t>Case</t>
  </si>
  <si>
    <t>Butter &amp; Marg</t>
  </si>
  <si>
    <t>Phase Block</t>
  </si>
  <si>
    <t>250gm</t>
  </si>
  <si>
    <t>Butter portions Bidfood</t>
  </si>
  <si>
    <t>1 x 100</t>
  </si>
  <si>
    <t>Butter rolls</t>
  </si>
  <si>
    <t xml:space="preserve">  </t>
  </si>
  <si>
    <t>Sunflower spread portions</t>
  </si>
  <si>
    <t>Cooking &amp; Baking Phase Marg</t>
  </si>
  <si>
    <t>Flora spread</t>
  </si>
  <si>
    <t>Bebo ptn</t>
  </si>
  <si>
    <t>Margarine soft spread Bidfood</t>
  </si>
  <si>
    <t>Stork soft spread</t>
  </si>
  <si>
    <t>Cheese</t>
  </si>
  <si>
    <t>Brie (Cheese Cellar)</t>
  </si>
  <si>
    <t>1.1kg</t>
  </si>
  <si>
    <t>Cheddar mild grated  (WHD)</t>
  </si>
  <si>
    <t>2 kg</t>
  </si>
  <si>
    <t>cheese portions x50</t>
  </si>
  <si>
    <t>Cheddar block</t>
  </si>
  <si>
    <t>Cheddar mild sliced (WHD)</t>
  </si>
  <si>
    <t>Cream cheese - full fat ((WHD)</t>
  </si>
  <si>
    <t>Goats log (WHD)</t>
  </si>
  <si>
    <t xml:space="preserve"> Feta Cheese WHD</t>
  </si>
  <si>
    <t>900g</t>
  </si>
  <si>
    <t>Parmesan Grated (WHD)</t>
  </si>
  <si>
    <t>Cheese Haloumi</t>
  </si>
  <si>
    <t>250g</t>
  </si>
  <si>
    <t>Italian Style cheese grated (WHD)</t>
  </si>
  <si>
    <t>boccocino balls</t>
  </si>
  <si>
    <t>Mozzarella grated</t>
  </si>
  <si>
    <t>Tofu - plain (Veg Exp)</t>
  </si>
  <si>
    <t>Violife vegan cheese</t>
  </si>
  <si>
    <t>200g pk</t>
  </si>
  <si>
    <t>Grano Padano</t>
  </si>
  <si>
    <t>Milk &amp; Cream</t>
  </si>
  <si>
    <t>Whipping cream WHD UHT KERRYMAID</t>
  </si>
  <si>
    <t>Soured cream</t>
  </si>
  <si>
    <t>Eggs - medium free range Bidfood</t>
  </si>
  <si>
    <t>Eggs - Whole Egg Liquid Bidfood</t>
  </si>
  <si>
    <t>milk coconut</t>
  </si>
  <si>
    <t>Milk - alpro soya (WHD)</t>
  </si>
  <si>
    <t>Milk - pergal</t>
  </si>
  <si>
    <t>Each</t>
  </si>
  <si>
    <t>Milk skimmed</t>
  </si>
  <si>
    <t>1 ltr</t>
  </si>
  <si>
    <t>Milk semi skimmed</t>
  </si>
  <si>
    <t>2 litre</t>
  </si>
  <si>
    <t>Medwland double cream BIDFOOD</t>
  </si>
  <si>
    <t>Yoghurt - natural (WHD)</t>
  </si>
  <si>
    <t>strawberry  (WHD)</t>
  </si>
  <si>
    <t>Mango puree WHD</t>
  </si>
  <si>
    <t>bluberry puree</t>
  </si>
  <si>
    <t>Raspberry Puree</t>
  </si>
  <si>
    <t>Kerry Gold cream</t>
  </si>
  <si>
    <t>Alpro soya dessert</t>
  </si>
  <si>
    <t>125g</t>
  </si>
  <si>
    <t>double cream</t>
  </si>
  <si>
    <t>2lt</t>
  </si>
  <si>
    <t>Oaty milk</t>
  </si>
  <si>
    <t>ltr</t>
  </si>
  <si>
    <t>misc fruit &amp;veg left</t>
  </si>
  <si>
    <t>Apple sGranny Smith CSL</t>
  </si>
  <si>
    <t>18kg</t>
  </si>
  <si>
    <t>Apples Braeburn CSL</t>
  </si>
  <si>
    <t>12kg</t>
  </si>
  <si>
    <t>Avocado</t>
  </si>
  <si>
    <t>pineapple CSL</t>
  </si>
  <si>
    <t>Bananas CSL</t>
  </si>
  <si>
    <t>punnet</t>
  </si>
  <si>
    <t>Clementines</t>
  </si>
  <si>
    <t>10kg</t>
  </si>
  <si>
    <t>Grapes green</t>
  </si>
  <si>
    <t>1X1KG</t>
  </si>
  <si>
    <t>Grapes red</t>
  </si>
  <si>
    <t>Lemons</t>
  </si>
  <si>
    <t>Limes</t>
  </si>
  <si>
    <t>Melon cantaloupe</t>
  </si>
  <si>
    <t>Melon galia</t>
  </si>
  <si>
    <t>Melon honeydew CSL</t>
  </si>
  <si>
    <t>Melon water CSL</t>
  </si>
  <si>
    <t>Oranges medium</t>
  </si>
  <si>
    <t>Pears conference CSL</t>
  </si>
  <si>
    <t>Plums CSL</t>
  </si>
  <si>
    <t>5KG</t>
  </si>
  <si>
    <t>Satsumas CSL</t>
  </si>
  <si>
    <t>1X360</t>
  </si>
  <si>
    <t>Basil CSL</t>
  </si>
  <si>
    <t>1 BANG</t>
  </si>
  <si>
    <t>bunch</t>
  </si>
  <si>
    <t>Chives</t>
  </si>
  <si>
    <t>Coriander CSL</t>
  </si>
  <si>
    <t>Dill CSL</t>
  </si>
  <si>
    <t>Mango</t>
  </si>
  <si>
    <t>oregano CSL</t>
  </si>
  <si>
    <t xml:space="preserve"> Mint CSL</t>
  </si>
  <si>
    <t xml:space="preserve">Parsley  </t>
  </si>
  <si>
    <t>Parsley flat CSL</t>
  </si>
  <si>
    <t>Rosemary CSL</t>
  </si>
  <si>
    <t>Sage</t>
  </si>
  <si>
    <t>Tarragon CSL</t>
  </si>
  <si>
    <t>Thyme CSL</t>
  </si>
  <si>
    <t>Asparagus x large CSL</t>
  </si>
  <si>
    <t>Aubergines</t>
  </si>
  <si>
    <t>mixed chillies</t>
  </si>
  <si>
    <t>Baby corn</t>
  </si>
  <si>
    <t>packet</t>
  </si>
  <si>
    <t>Beans -fine green CSL</t>
  </si>
  <si>
    <t>1.5kg box</t>
  </si>
  <si>
    <t>Candy Beetroot CSL</t>
  </si>
  <si>
    <t>1X1.5KG</t>
  </si>
  <si>
    <t>Beetroot cooked - vac pak</t>
  </si>
  <si>
    <t xml:space="preserve"> Golden Beetroot CSL</t>
  </si>
  <si>
    <t>Broccoli CSL</t>
  </si>
  <si>
    <t>1X5KG</t>
  </si>
  <si>
    <t>Butternut squash CSL</t>
  </si>
  <si>
    <t>Cabbage red</t>
  </si>
  <si>
    <t>Cabbage white CSL</t>
  </si>
  <si>
    <t>1XEACH</t>
  </si>
  <si>
    <t>Cabbage Savoy CSL</t>
  </si>
  <si>
    <t>Prepped Carrot</t>
  </si>
  <si>
    <t>1kilo</t>
  </si>
  <si>
    <t>Donkey Carrots CSL</t>
  </si>
  <si>
    <t>Raspberries Punnet</t>
  </si>
  <si>
    <t>cress</t>
  </si>
  <si>
    <t>Cauliflower CSL</t>
  </si>
  <si>
    <t>Celeriac CSL</t>
  </si>
  <si>
    <t>Celery</t>
  </si>
  <si>
    <t>Chillies green</t>
  </si>
  <si>
    <t>Chillies red</t>
  </si>
  <si>
    <t>Courgettes CSL</t>
  </si>
  <si>
    <t>Cucumber CSL</t>
  </si>
  <si>
    <t>1X12</t>
  </si>
  <si>
    <t>Lemon GRASS</t>
  </si>
  <si>
    <t>BUNCH</t>
  </si>
  <si>
    <t>Garlic peeled CSL</t>
  </si>
  <si>
    <t>Ginger</t>
  </si>
  <si>
    <t>kilo</t>
  </si>
  <si>
    <t>Leeks</t>
  </si>
  <si>
    <t>kale kg</t>
  </si>
  <si>
    <t>BANG</t>
  </si>
  <si>
    <t>Lettuce - Cos CSL</t>
  </si>
  <si>
    <t>Lettuce - Chinese leaf</t>
  </si>
  <si>
    <t>Lettuce - Iceberg CSL</t>
  </si>
  <si>
    <t>little gem lettuce</t>
  </si>
  <si>
    <t>Lettuce - Lollo blondo</t>
  </si>
  <si>
    <t>Lettuce - Mixed baby leaf</t>
  </si>
  <si>
    <t>Lettuce - Oakleaf</t>
  </si>
  <si>
    <t>Fennel</t>
  </si>
  <si>
    <t>mange tout</t>
  </si>
  <si>
    <t>Mushrooms cup</t>
  </si>
  <si>
    <t>1.8KG</t>
  </si>
  <si>
    <t>Mushrooms flat field CSL</t>
  </si>
  <si>
    <t>1.8kg</t>
  </si>
  <si>
    <t>Mustard cress</t>
  </si>
  <si>
    <t>Punnet</t>
  </si>
  <si>
    <t>Onions L arge CSL</t>
  </si>
  <si>
    <t>1X20KG</t>
  </si>
  <si>
    <t>20 kg</t>
  </si>
  <si>
    <t>Onions Spanish</t>
  </si>
  <si>
    <t>20kg</t>
  </si>
  <si>
    <t>Onions Spring CSL</t>
  </si>
  <si>
    <t>Onions red</t>
  </si>
  <si>
    <t>1X10KG</t>
  </si>
  <si>
    <t>Shallot CSL</t>
  </si>
  <si>
    <t>Onions peeled</t>
  </si>
  <si>
    <t>Onions large</t>
  </si>
  <si>
    <t>Parsnips CSL</t>
  </si>
  <si>
    <t>Peppers green</t>
  </si>
  <si>
    <t>1x4.5kg</t>
  </si>
  <si>
    <t>mixed pepper box CSL</t>
  </si>
  <si>
    <t>Peppers red</t>
  </si>
  <si>
    <t>Pepper yellow</t>
  </si>
  <si>
    <t>potatoes jackets (60's) CSL</t>
  </si>
  <si>
    <t>Potatoes jackets (50's) CSL</t>
  </si>
  <si>
    <t>1X40</t>
  </si>
  <si>
    <t>Potatoes  mids CSL</t>
  </si>
  <si>
    <t>box 10kg</t>
  </si>
  <si>
    <t>Potatoes cut roast</t>
  </si>
  <si>
    <t>Potatoes new</t>
  </si>
  <si>
    <t>Potatoes prepped CSL</t>
  </si>
  <si>
    <t>1X25KG</t>
  </si>
  <si>
    <t>Potatoes - EFAV S/ON FRIES</t>
  </si>
  <si>
    <t>Peppers mixed CSL</t>
  </si>
  <si>
    <t>Potatoes Sweet</t>
  </si>
  <si>
    <t>Pomegrantes CSL</t>
  </si>
  <si>
    <t>Radish</t>
  </si>
  <si>
    <t>1X50</t>
  </si>
  <si>
    <t>Red chard</t>
  </si>
  <si>
    <t>1X51</t>
  </si>
  <si>
    <t>Rocket</t>
  </si>
  <si>
    <t>Spinach -Pre pack</t>
  </si>
  <si>
    <t>Sugar snaps CSL</t>
  </si>
  <si>
    <t>Swede</t>
  </si>
  <si>
    <t>Yellow Cherry toms</t>
  </si>
  <si>
    <t>Tomatoes cherry CSL</t>
  </si>
  <si>
    <t>1X6KG</t>
  </si>
  <si>
    <t>Radishio lettuce</t>
  </si>
  <si>
    <t>Tomatoes 6kilo box CSL</t>
  </si>
  <si>
    <t>Watercress CSL</t>
  </si>
  <si>
    <t>Confectionery/retail</t>
  </si>
  <si>
    <t>kp crisps</t>
  </si>
  <si>
    <t>Walkers crisps</t>
  </si>
  <si>
    <t>Mini Cheddars</t>
  </si>
  <si>
    <t>30g bag</t>
  </si>
  <si>
    <t>Kit kat 2 finger (1x48)</t>
  </si>
  <si>
    <t>1 x 72</t>
  </si>
  <si>
    <t xml:space="preserve">boka bars </t>
  </si>
  <si>
    <t>1x24</t>
  </si>
  <si>
    <t>Milk powder</t>
  </si>
  <si>
    <t>Galaxy chocolate</t>
  </si>
  <si>
    <t>Kenco vending</t>
  </si>
  <si>
    <t>Kenco decaff vending</t>
  </si>
  <si>
    <t>CLEANING STOCK</t>
  </si>
  <si>
    <t>ITEM CODE</t>
  </si>
  <si>
    <t>PACK SIZE</t>
  </si>
  <si>
    <t>STOCK VALUE</t>
  </si>
  <si>
    <t>Aprons disposable</t>
  </si>
  <si>
    <t>1X100</t>
  </si>
  <si>
    <t>Black Bags  sacks GW5010B</t>
  </si>
  <si>
    <t>1x200</t>
  </si>
  <si>
    <t>Blue vinyl gloves washup</t>
  </si>
  <si>
    <t>PO8262</t>
  </si>
  <si>
    <t>per pair</t>
  </si>
  <si>
    <t>Blue nitrile gloves med</t>
  </si>
  <si>
    <t>P09971</t>
  </si>
  <si>
    <t>BOX</t>
  </si>
  <si>
    <t>Blue nitrile gloves xl</t>
  </si>
  <si>
    <t>P09976</t>
  </si>
  <si>
    <t>blue nitrle gloves large</t>
  </si>
  <si>
    <t>p10992</t>
  </si>
  <si>
    <t>Blue centrefeedroll 2ply</t>
  </si>
  <si>
    <t>M00864</t>
  </si>
  <si>
    <t>Bactericidal handsoap</t>
  </si>
  <si>
    <t>5 lt</t>
  </si>
  <si>
    <t>Red Disposable Aprons</t>
  </si>
  <si>
    <t>PO9515</t>
  </si>
  <si>
    <t>1x100</t>
  </si>
  <si>
    <t>Degreaser concerntrated</t>
  </si>
  <si>
    <t>098200</t>
  </si>
  <si>
    <t>2litre</t>
  </si>
  <si>
    <t>Ultra floor cleaner</t>
  </si>
  <si>
    <t>pro supplies floor cleaner</t>
  </si>
  <si>
    <t>2 x 5litre</t>
  </si>
  <si>
    <t>Glass &amp; stainless steel cleaner</t>
  </si>
  <si>
    <t>750ML</t>
  </si>
  <si>
    <t>Limescale Remover</t>
  </si>
  <si>
    <t>5 ltr</t>
  </si>
  <si>
    <t>Tannin remover</t>
  </si>
  <si>
    <t>Machine detergent</t>
  </si>
  <si>
    <t>20litre</t>
  </si>
  <si>
    <t>Machine rinse aid</t>
  </si>
  <si>
    <t>pro supplies washing liquid</t>
  </si>
  <si>
    <t>2x5lirtre</t>
  </si>
  <si>
    <t>Bacti sinkwash</t>
  </si>
  <si>
    <t>5lt</t>
  </si>
  <si>
    <t>Oven cleaner Rational care</t>
  </si>
  <si>
    <t>1x150</t>
  </si>
  <si>
    <t>Oven cleaner Rational detergent</t>
  </si>
  <si>
    <t>Oven cleaner Rational rinse</t>
  </si>
  <si>
    <t>Oven cleaner spray - foaming</t>
  </si>
  <si>
    <t>750ml</t>
  </si>
  <si>
    <t>Probe wipes</t>
  </si>
  <si>
    <t>PO6657</t>
  </si>
  <si>
    <t>1 x200</t>
  </si>
  <si>
    <t>Salad wash</t>
  </si>
  <si>
    <t>Salt - granular</t>
  </si>
  <si>
    <t>N00999</t>
  </si>
  <si>
    <t>Sanitiser  L/Conc</t>
  </si>
  <si>
    <t>2 lt</t>
  </si>
  <si>
    <t>Sanitiser powder</t>
  </si>
  <si>
    <t>Sanitiser spray</t>
  </si>
  <si>
    <t>6x750ml</t>
  </si>
  <si>
    <t>light weight cloth blue</t>
  </si>
  <si>
    <t>PO7746</t>
  </si>
  <si>
    <t>Heavy weight cloth blue</t>
  </si>
  <si>
    <t>PO7754</t>
  </si>
  <si>
    <t>1 x 25</t>
  </si>
  <si>
    <t>Scourers - green</t>
  </si>
  <si>
    <t>po3243</t>
  </si>
  <si>
    <t>1X10</t>
  </si>
  <si>
    <t>heavy duty scourer</t>
  </si>
  <si>
    <t>PO9377</t>
  </si>
  <si>
    <t>1x10</t>
  </si>
  <si>
    <t>Griddle Pads</t>
  </si>
  <si>
    <t>PO5339</t>
  </si>
  <si>
    <t>1x pk</t>
  </si>
  <si>
    <t>PPE</t>
  </si>
  <si>
    <t>Respirator</t>
  </si>
  <si>
    <t>Safety goggles</t>
  </si>
  <si>
    <t>Mop heads kentucky</t>
  </si>
  <si>
    <t>P04759</t>
  </si>
  <si>
    <t>Mop heads socket</t>
  </si>
  <si>
    <t>Depreciate Below</t>
  </si>
  <si>
    <t>Heavy duty black glove</t>
  </si>
  <si>
    <t>po2821</t>
  </si>
  <si>
    <t>Sanitiser bottle</t>
  </si>
  <si>
    <t>Degreaser bottle</t>
  </si>
  <si>
    <t>Limescale remover bottle</t>
  </si>
  <si>
    <t>Mop bucket</t>
  </si>
  <si>
    <t>Mop stick</t>
  </si>
  <si>
    <t>Heavy duty black apron</t>
  </si>
  <si>
    <t>Wet floor sign</t>
  </si>
  <si>
    <t>Broom</t>
  </si>
  <si>
    <t>Squeegee</t>
  </si>
  <si>
    <t>dishwasher tablets</t>
  </si>
  <si>
    <t>food waste bags</t>
  </si>
  <si>
    <t>cw140c0</t>
  </si>
  <si>
    <t>Holroyd Howe</t>
  </si>
  <si>
    <t>Disposables</t>
  </si>
  <si>
    <t>SIZE</t>
  </si>
  <si>
    <t>HH logo paper</t>
  </si>
  <si>
    <t>Daily catch paper</t>
  </si>
  <si>
    <t>GO6582</t>
  </si>
  <si>
    <t>White Paper lunch bags</t>
  </si>
  <si>
    <t xml:space="preserve">brown wax paper </t>
  </si>
  <si>
    <t>460x710</t>
  </si>
  <si>
    <t>Brown sos paper bag GO1203</t>
  </si>
  <si>
    <t>Muffin cases tulip (Café C)</t>
  </si>
  <si>
    <t>Napkins white cocktail</t>
  </si>
  <si>
    <t>D04410 Blue napkins</t>
  </si>
  <si>
    <t>recycle napkins D08240</t>
  </si>
  <si>
    <t>x3000</t>
  </si>
  <si>
    <t>4oz paper cup Nisbetts</t>
  </si>
  <si>
    <t>X1000</t>
  </si>
  <si>
    <t>8oz  paper cups BO5061</t>
  </si>
  <si>
    <t>x500</t>
  </si>
  <si>
    <t>White paper cups 4oz B01502</t>
  </si>
  <si>
    <t xml:space="preserve">  Cups - Brown  B05209</t>
  </si>
  <si>
    <t>1x500</t>
  </si>
  <si>
    <t>brown soup pots</t>
  </si>
  <si>
    <t>brown soup lids</t>
  </si>
  <si>
    <t>8 0z cup lids</t>
  </si>
  <si>
    <t xml:space="preserve"> Kraft standard s/w wedge G07425</t>
  </si>
  <si>
    <t>4oz portion pot H07091 plastic</t>
  </si>
  <si>
    <t>1x2000</t>
  </si>
  <si>
    <t>12oz lid</t>
  </si>
  <si>
    <t>x1000</t>
  </si>
  <si>
    <t>8.6 wooden skewer Bunzl E00543</t>
  </si>
  <si>
    <t>Teppo gushi (gun shaped</t>
  </si>
  <si>
    <t>Pack</t>
  </si>
  <si>
    <t>Wooden spoons</t>
  </si>
  <si>
    <t>pck 1000</t>
  </si>
  <si>
    <t>sustain wooden knife</t>
  </si>
  <si>
    <t>sustain wooden fork</t>
  </si>
  <si>
    <t>Pack 1000</t>
  </si>
  <si>
    <t>Cling Film - wrapmaster 45cm HO1755</t>
  </si>
  <si>
    <t>x3</t>
  </si>
  <si>
    <t>Good to go parchment 45cm GO6939</t>
  </si>
  <si>
    <t>roll</t>
  </si>
  <si>
    <t>Foil good to go</t>
  </si>
  <si>
    <t>Piping bags</t>
  </si>
  <si>
    <t>Remmerco pud pots</t>
  </si>
  <si>
    <t>Diposable face mask</t>
  </si>
  <si>
    <t>x50</t>
  </si>
  <si>
    <t xml:space="preserve">Fresco salad bowls </t>
  </si>
  <si>
    <t>Wrapmaster small dispenser</t>
  </si>
  <si>
    <t>Knife gloves</t>
  </si>
  <si>
    <t>Wrapmaster dispenser</t>
  </si>
  <si>
    <t>Xmas slip covers</t>
  </si>
  <si>
    <t>DO8065</t>
  </si>
  <si>
    <t>Xmas napkins</t>
  </si>
  <si>
    <t>Blue plasters assorted</t>
  </si>
  <si>
    <t>Lables</t>
  </si>
  <si>
    <t>New Allergen Labels 2019</t>
  </si>
  <si>
    <t>Banqueting roll</t>
  </si>
  <si>
    <t>w</t>
  </si>
  <si>
    <t xml:space="preserve">rigatoni pasta </t>
  </si>
  <si>
    <t>wholeweat</t>
  </si>
  <si>
    <t>0.40.6</t>
  </si>
  <si>
    <t xml:space="preserve">extra virgin </t>
  </si>
  <si>
    <t>0.30.9</t>
  </si>
  <si>
    <t>0,5</t>
  </si>
  <si>
    <t>oat milk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</si>
</sst>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7" mc:Ignorable="x14ac x16r2 xr">
  <numFmts count="1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[$£-409]#,##0.00&quot; &quot;;[Red][$-409]&quot;(£&quot;#,##0.00&quot;)&quot;"/>
    <numFmt numFmtId="165" formatCode="#,##0.00&quot; &quot;;&quot;(&quot;#,##0.00&quot;)&quot;;&quot;-&quot;#&quot; &quot;;&quot; &quot;@&quot; &quot;"/>
    <numFmt numFmtId="166" formatCode="&quot; &quot;[$£-809]#,##0.00&quot; &quot;;&quot;-&quot;[$£-809]#,##0.00&quot; &quot;;&quot; &quot;[$£-809]&quot;-&quot;#&quot; &quot;;&quot; &quot;@"/>
    <numFmt numFmtId="167" formatCode="d/m/yyyy"/>
    <numFmt numFmtId="168" formatCode="[$£-409]#,##0.00"/>
    <numFmt numFmtId="169" formatCode="#,##0.00&quot; &quot;;#,##0.00&quot; &quot;;&quot;-&quot;#&quot; &quot;;&quot; &quot;@"/>
    <numFmt numFmtId="170" formatCode="[$£-409]#,##0;[Red][$-409]&quot;-£&quot;#,##0"/>
  </numFmts>
  <fonts count="20">
    <font>
      <name val="Arial"/>
      <color rgb="FF000000"/>
      <sz val="11"/>
      <scheme val="minor"/>
    </font>
    <font>
      <name val="Calibri"/>
      <color rgb="FF000000"/>
      <sz val="20"/>
    </font>
    <font>
      <name val="Calibri"/>
      <b/>
      <color rgb="FF000000"/>
      <sz val="10"/>
    </font>
    <font>
      <name val="Calibri"/>
      <b/>
      <color rgb="FFFF0000"/>
      <sz val="20"/>
    </font>
    <font>
      <name val="Calibri"/>
      <b/>
      <color rgb="FF000000"/>
      <sz val="14"/>
    </font>
    <font>
      <name val="Calibri"/>
      <color rgb="FF000000"/>
      <sz val="10"/>
    </font>
    <font>
      <name val="Calibri"/>
      <b/>
      <color rgb="FF000000"/>
      <sz val="10"/>
      <u val="single"/>
    </font>
    <font>
      <name val="Calibri"/>
      <b/>
      <color rgb="FF000000"/>
      <sz val="11"/>
    </font>
    <font>
      <name val="Calibri"/>
      <b/>
      <color rgb="FFFF0000"/>
      <sz val="14"/>
    </font>
    <font>
      <name val="Calibri"/>
      <b/>
      <color rgb="FFFF0000"/>
      <sz val="11"/>
    </font>
    <font>
      <name val="Calibri"/>
      <color rgb="FFFF0000"/>
      <sz val="10"/>
    </font>
    <font>
      <name val="Calibri"/>
      <color rgb="FF000000"/>
      <sz val="11"/>
    </font>
    <font>
      <name val="Arial"/>
      <color rgb="FF000000"/>
      <sz val="11"/>
      <scheme val="minor"/>
    </font>
    <font>
      <name val="Calibri"/>
      <color rgb="FF000000"/>
      <sz val="9"/>
    </font>
    <font>
      <name val="Arial"/>
      <color rgb="FF000000"/>
      <sz val="10"/>
    </font>
    <font>
      <name val="Calibri"/>
      <b/>
      <color rgb="FFFF0000"/>
      <sz val="10"/>
    </font>
    <font>
      <name val="Arial"/>
      <color rgb="FFFF0000"/>
      <sz val="10"/>
    </font>
    <font>
      <name val="Arial"/>
      <color rgb="FF000000"/>
      <sz val="11"/>
    </font>
    <font>
      <name val="Arial"/>
      <color rgb="FF000000"/>
      <sz val="11"/>
    </font>
    <font>
      <name val="Calibri"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/>
    <xf numFmtId="0" fontId="2" fillId="0" borderId="0" xfId="0" applyFont="1"/>
    <xf numFmtId="164" fontId="5" fillId="0" borderId="0" xfId="0" applyNumberFormat="1" applyFont="1"/>
    <xf numFmtId="0" fontId="7" fillId="0" borderId="1" xfId="0" applyFont="1" applyBorder="1"/>
    <xf numFmtId="0" fontId="5" fillId="0" borderId="2" xfId="0" applyFont="1" applyBorder="1"/>
    <xf numFmtId="0" fontId="5" fillId="0" borderId="3" xfId="0" applyFont="1" applyBorder="1"/>
    <xf numFmtId="165" fontId="7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8" fillId="0" borderId="1" xfId="0" applyFont="1" applyBorder="1"/>
    <xf numFmtId="166" fontId="8" fillId="0" borderId="1" xfId="0" applyNumberFormat="1" applyFont="1" applyBorder="1"/>
    <xf numFmtId="0" fontId="8" fillId="0" borderId="0" xfId="0" applyFont="1"/>
    <xf numFmtId="165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7" fontId="2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  <xf numFmtId="0" fontId="9" fillId="0" borderId="1" xfId="0" applyFont="1" applyBorder="1"/>
    <xf numFmtId="166" fontId="5" fillId="2" borderId="1" xfId="0" applyNumberFormat="1" applyFont="1" applyFill="1" applyBorder="1"/>
    <xf numFmtId="165" fontId="5" fillId="0" borderId="1" xfId="0" applyNumberFormat="1" applyFont="1" applyBorder="1" applyAlignment="1">
      <alignment horizontal="center"/>
    </xf>
    <xf numFmtId="0" fontId="11" fillId="0" borderId="1" xfId="0" applyFont="1" applyBorder="1"/>
    <xf numFmtId="166" fontId="5" fillId="0" borderId="1" xfId="0" applyNumberFormat="1" applyFont="1" applyBorder="1"/>
    <xf numFmtId="0" fontId="12" fillId="0" borderId="0" xfId="0" applyFont="1"/>
    <xf numFmtId="0" fontId="13" fillId="0" borderId="1" xfId="0" applyFont="1" applyBorder="1"/>
    <xf numFmtId="0" fontId="5" fillId="0" borderId="3" xfId="0" applyFont="1" applyBorder="1" applyAlignment="1">
      <alignment horizontal="center" vertical="center"/>
    </xf>
    <xf numFmtId="165" fontId="14" fillId="0" borderId="0" xfId="0" applyNumberFormat="1" applyFont="1"/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/>
    <xf numFmtId="0" fontId="15" fillId="0" borderId="1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14" fillId="0" borderId="1" xfId="0" applyFont="1" applyBorder="1"/>
    <xf numFmtId="169" fontId="14" fillId="0" borderId="1" xfId="0" applyNumberFormat="1" applyFont="1" applyBorder="1"/>
    <xf numFmtId="0" fontId="5" fillId="2" borderId="6" xfId="0" applyFont="1" applyFill="1" applyBorder="1"/>
    <xf numFmtId="165" fontId="5" fillId="2" borderId="6" xfId="0" applyNumberFormat="1" applyFont="1" applyFill="1" applyBorder="1"/>
    <xf numFmtId="0" fontId="10" fillId="0" borderId="3" xfId="0" applyFont="1" applyBorder="1" applyAlignment="1">
      <alignment horizontal="center" vertical="center"/>
    </xf>
    <xf numFmtId="0" fontId="14" fillId="0" borderId="0" xfId="0" applyFont="1"/>
    <xf numFmtId="0" fontId="10" fillId="0" borderId="1" xfId="0" applyFont="1" applyBorder="1"/>
    <xf numFmtId="0" fontId="2" fillId="0" borderId="3" xfId="0" applyFont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vertic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165" fontId="7" fillId="0" borderId="1" xfId="0" applyNumberFormat="1" applyFont="1" applyBorder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vertical="center"/>
    </xf>
    <xf numFmtId="0" fontId="2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165" fontId="5" fillId="0" borderId="0" xfId="0" applyNumberFormat="1" applyFont="1"/>
    <xf numFmtId="165" fontId="7" fillId="0" borderId="1" xfId="0" applyNumberFormat="1" applyFont="1" applyBorder="1"/>
    <xf numFmtId="0" fontId="14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6" fillId="0" borderId="0" xfId="0" applyFont="1"/>
    <xf numFmtId="0" fontId="17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168" fontId="5" fillId="0" borderId="1" xfId="0" applyNumberFormat="1" applyFont="1" applyBorder="1"/>
    <xf numFmtId="168" fontId="14" fillId="0" borderId="0" xfId="0" applyNumberFormat="1" applyFont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vertical="center"/>
    </xf>
    <xf numFmtId="165" fontId="5" fillId="2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9" fillId="0" borderId="0" xfId="0" applyFont="1"/>
    <xf numFmtId="0" fontId="2" fillId="0" borderId="0" xfId="0" applyFont="1" applyAlignment="1">
      <alignment horizontal="left"/>
    </xf>
    <xf numFmtId="17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/>
    <xf numFmtId="0" fontId="14" fillId="2" borderId="8" xfId="0" applyFont="1" applyFill="1" applyBorder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4" fillId="3" borderId="8" xfId="0" applyFont="1" applyFill="1" applyBorder="1"/>
    <xf numFmtId="165" fontId="2" fillId="0" borderId="1" xfId="0" applyNumberFormat="1" applyFont="1" applyBorder="1"/>
    <xf numFmtId="167" fontId="5" fillId="0" borderId="0" xfId="0" applyNumberFormat="1" applyFont="1"/>
    <xf numFmtId="0" fontId="5" fillId="2" borderId="6" xfId="0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0" fontId="5" fillId="3" borderId="1" xfId="0" applyFont="1" applyFill="1" applyBorder="1"/>
    <xf numFmtId="165" fontId="5" fillId="3" borderId="6" xfId="0" applyNumberFormat="1" applyFont="1" applyFill="1" applyBorder="1"/>
    <xf numFmtId="0" fontId="5" fillId="3" borderId="6" xfId="0" applyFont="1" applyFill="1" applyBorder="1" applyAlignment="1">
      <alignment horizontal="center"/>
    </xf>
    <xf numFmtId="165" fontId="5" fillId="3" borderId="6" xfId="0" applyNumberFormat="1" applyFont="1" applyFill="1" applyBorder="1" applyAlignment="1">
      <alignment horizontal="center"/>
    </xf>
    <xf numFmtId="0" fontId="9" fillId="0" borderId="6" xfId="0" applyFont="1" applyBorder="1"/>
    <xf numFmtId="0" fontId="5" fillId="0" borderId="6" xfId="0" applyFont="1" applyBorder="1"/>
    <xf numFmtId="166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/>
    <xf numFmtId="0" fontId="10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/>
    </xf>
    <xf numFmtId="165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17" fillId="0" borderId="3" xfId="0" applyFont="1" applyBorder="1"/>
    <xf numFmtId="0" fontId="18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worksheet" Target="worksheets/sheet11.xml" TargetMode="Internal"/><Relationship Id="rId12" Type="http://schemas.openxmlformats.org/officeDocument/2006/relationships/worksheet" Target="worksheets/sheet12.xml" TargetMode="Internal"/><Relationship Id="rId13" Type="http://schemas.openxmlformats.org/officeDocument/2006/relationships/worksheet" Target="worksheets/sheet13.xml" TargetMode="Internal"/><Relationship Id="rId14" Type="http://schemas.openxmlformats.org/officeDocument/2006/relationships/theme" Target="theme/theme1.xml" TargetMode="Internal"/><Relationship Id="rId15" Type="http://schemas.openxmlformats.org/officeDocument/2006/relationships/styles" Target="styles.xml" TargetMode="Internal"/><Relationship Id="rId16" Type="http://schemas.openxmlformats.org/officeDocument/2006/relationships/sharedStrings" Target="sharedStrings.xml" TargetMode="Internal"/><Relationship Id="rId17" Type="http://schemas.openxmlformats.org/officeDocument/2006/relationships/calcChain" Target="calcChain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 tabSelected="1">
      <selection pane="topLeft" activeCell="B5" sqref="B5"/>
    </sheetView>
  </sheetViews>
  <sheetFormatPr baseColWidth="8" defaultColWidth="12.625" defaultRowHeight="15"/>
  <cols>
    <col min="1" max="1" width="25.875" customWidth="1"/>
    <col min="2" max="2" width="17.125" customWidth="1"/>
    <col min="3" max="3" width="8.5" customWidth="1"/>
    <col min="4" max="4" width="11" customWidth="1"/>
    <col min="5" max="5" width="49.5" customWidth="1"/>
    <col min="6" max="6" width="8.5" customWidth="1"/>
  </cols>
  <sheetData>
    <row ht="21" customHeight="1" r="1" spans="1:5">
      <c r="A1" s="1" t="s">
        <v>0</v>
      </c>
      <c r="B1" s="2"/>
      <c r="C1" s="2"/>
      <c r="D1" s="2"/>
      <c r="E1" s="2"/>
    </row>
    <row ht="21" customHeight="1" r="2" spans="1:5">
      <c r="A2" s="1"/>
      <c r="B2" s="2"/>
      <c r="C2" s="2"/>
      <c r="D2" s="2"/>
      <c r="E2" s="2"/>
    </row>
    <row ht="21" customHeight="1" r="3" spans="1:5">
      <c r="A3" s="113" t="s">
        <v>1</v>
      </c>
      <c r="B3" s="114"/>
      <c r="C3" s="2"/>
      <c r="D3" s="2"/>
      <c r="E3" s="2"/>
    </row>
    <row ht="21" customHeight="1" r="4" spans="1:5">
      <c r="A4" s="1"/>
      <c r="B4" s="2"/>
      <c r="C4" s="2"/>
      <c r="D4" s="2"/>
      <c r="E4" s="2"/>
    </row>
    <row ht="17.25" customHeight="1" r="5" spans="1:5">
      <c r="A5" s="4" t="s">
        <v>2</v>
      </c>
      <c r="B5" s="5" t="s">
        <v>3</v>
      </c>
      <c r="C5" s="6"/>
      <c r="D5" s="6"/>
      <c r="E5" s="7"/>
    </row>
    <row ht="17.25" customHeight="1" r="6" spans="1:5">
      <c r="A6" s="8"/>
      <c r="B6" s="8"/>
      <c r="C6" s="9"/>
      <c r="D6" s="10"/>
      <c r="E6" s="7"/>
    </row>
    <row ht="17.25" customHeight="1" r="7" spans="1:5">
      <c r="A7" s="11" t="s">
        <v>4</v>
      </c>
      <c r="B7" s="12"/>
      <c r="C7" s="6"/>
      <c r="D7" s="10"/>
      <c r="E7" s="7"/>
    </row>
    <row ht="18" customHeight="1" r="8" spans="1:5">
      <c r="A8" s="13" t="s">
        <v>5</v>
      </c>
      <c r="B8" s="14">
        <f>SUM(Dry_Stores!E150)</f>
        <v>24.472</v>
      </c>
      <c r="C8" s="10"/>
      <c r="D8" s="10"/>
      <c r="E8" s="3"/>
    </row>
    <row ht="17.25" customHeight="1" r="9" spans="1:5">
      <c r="A9" s="13" t="s">
        <v>6</v>
      </c>
      <c r="B9" s="14">
        <f>SUM(FOH!E83)</f>
        <v>1217.845</v>
      </c>
      <c r="C9" s="10"/>
      <c r="D9" s="10"/>
      <c r="E9" s="7"/>
    </row>
    <row ht="17.25" customHeight="1" r="10" spans="1:5">
      <c r="A10" s="13" t="s">
        <v>7</v>
      </c>
      <c r="B10" s="14">
        <f>SUM(Fish!E16)</f>
        <v>59.69</v>
      </c>
      <c r="C10" s="6"/>
      <c r="D10" s="10"/>
      <c r="E10" s="7"/>
    </row>
    <row ht="17.25" customHeight="1" r="11" spans="1:5">
      <c r="A11" s="15" t="s">
        <v>8</v>
      </c>
      <c r="B11" s="14">
        <f>SUM(Frozen!E85)</f>
        <v>350.474</v>
      </c>
      <c r="C11" s="10"/>
      <c r="D11" s="10"/>
      <c r="E11" s="7"/>
    </row>
    <row ht="17.25" customHeight="1" r="12" spans="1:5">
      <c r="A12" s="15" t="s">
        <v>9</v>
      </c>
      <c r="B12" s="14">
        <f>SUM(Bakery!E33)</f>
        <v>37.75</v>
      </c>
      <c r="C12" s="10"/>
      <c r="D12" s="10"/>
      <c r="E12" s="7"/>
    </row>
    <row ht="17.25" customHeight="1" r="13" spans="1:5">
      <c r="A13" s="15" t="s">
        <v>10</v>
      </c>
      <c r="B13" s="14">
        <f>SUM(Meat!E50)</f>
        <v>62.2</v>
      </c>
      <c r="C13" s="10"/>
      <c r="D13" s="10"/>
      <c r="E13" s="7"/>
    </row>
    <row ht="17.25" customHeight="1" r="14" spans="1:5">
      <c r="A14" s="15" t="s">
        <v>11</v>
      </c>
      <c r="B14" s="14">
        <f>SUM(Dairy!E52)</f>
        <v>0</v>
      </c>
      <c r="C14" s="10"/>
      <c r="D14" s="10"/>
      <c r="E14" s="7"/>
    </row>
    <row ht="17.25" customHeight="1" r="15" spans="1:5">
      <c r="A15" s="15" t="s">
        <v>12</v>
      </c>
      <c r="B15" s="14">
        <f>SUM('Fruit_&amp;_Veg'!F114)</f>
        <v>234.145</v>
      </c>
      <c r="C15" s="10"/>
      <c r="D15" s="10"/>
      <c r="E15" s="7"/>
    </row>
    <row ht="17.25" customHeight="1" r="16" spans="1:5">
      <c r="A16" s="15" t="s">
        <v>13</v>
      </c>
      <c r="B16" s="14">
        <f>SUM(Pastry!E80)</f>
        <v>701.575</v>
      </c>
      <c r="C16" s="10"/>
      <c r="D16" s="10"/>
      <c r="E16" s="7"/>
    </row>
    <row ht="17.25" customHeight="1" r="17" spans="1:5">
      <c r="A17" s="15" t="s">
        <v>14</v>
      </c>
      <c r="B17" s="14">
        <f>SUM(Retail!E14)</f>
        <v>114.78</v>
      </c>
      <c r="C17" s="10"/>
      <c r="D17" s="10"/>
      <c r="E17" s="7"/>
    </row>
    <row ht="17.25" customHeight="1" r="18" spans="1:5">
      <c r="A18" s="16" t="s">
        <v>15</v>
      </c>
      <c r="B18" s="17">
        <f>SUM(B8:B17)</f>
        <v>2802.931</v>
      </c>
      <c r="C18" s="10"/>
      <c r="D18" s="10"/>
      <c r="E18" s="7"/>
    </row>
    <row ht="17.25" customHeight="1" r="19" spans="1:5">
      <c r="A19" s="18" t="s">
        <v>16</v>
      </c>
      <c r="B19" s="19">
        <f>SUM(Cleaning!F59)</f>
        <v>1941.099</v>
      </c>
      <c r="C19" s="6"/>
      <c r="D19" s="6"/>
      <c r="E19" s="7"/>
    </row>
    <row ht="17.25" customHeight="1" r="20" spans="1:5">
      <c r="A20" s="18" t="s">
        <v>17</v>
      </c>
      <c r="B20" s="19">
        <f>SUM(Disposables!E49)</f>
        <v>1646.668</v>
      </c>
      <c r="C20" s="6"/>
      <c r="D20" s="6"/>
      <c r="E20" s="7"/>
    </row>
    <row ht="17.25" customHeight="1" r="21" spans="1:5">
      <c r="A21" s="6"/>
      <c r="B21" s="6"/>
      <c r="C21" s="6"/>
      <c r="D21" s="6"/>
      <c r="E21" s="7"/>
    </row>
    <row ht="12" customHeight="1" r="22" spans="1:5"/>
    <row ht="12" customHeight="1" r="23" spans="1:5"/>
    <row ht="12" customHeight="1" r="24" spans="1:5"/>
    <row ht="12" customHeight="1" r="25" spans="1:5"/>
    <row ht="12" customHeight="1" r="26" spans="1:5"/>
    <row ht="12" customHeight="1" r="27" spans="1:5"/>
    <row ht="12" customHeight="1" r="28" spans="1:5"/>
    <row ht="12" customHeight="1" r="29" spans="1:5"/>
    <row ht="12" customHeight="1" r="30" spans="1:5"/>
    <row ht="12" customHeight="1" r="31" spans="1:5"/>
    <row ht="12" customHeight="1" r="32" spans="1:5"/>
    <row ht="12" customHeight="1" r="33"/>
    <row ht="12" customHeight="1" r="34"/>
    <row ht="12" customHeight="1" r="35"/>
    <row ht="12" customHeight="1" r="36"/>
    <row ht="12" customHeight="1" r="37"/>
    <row ht="12" customHeight="1" r="38"/>
    <row ht="12" customHeight="1" r="39"/>
    <row ht="12" customHeight="1" r="40"/>
    <row ht="12" customHeight="1" r="41"/>
    <row ht="12" customHeight="1" r="42"/>
    <row ht="12" customHeight="1" r="43"/>
    <row ht="12" customHeight="1" r="44"/>
    <row ht="12" customHeight="1" r="45"/>
    <row ht="12" customHeight="1" r="46"/>
    <row ht="12" customHeight="1" r="47"/>
    <row ht="12" customHeight="1" r="48"/>
    <row ht="12" customHeight="1" r="49"/>
    <row ht="12" customHeight="1" r="50"/>
    <row ht="12" customHeight="1" r="51"/>
    <row ht="12" customHeight="1" r="52"/>
    <row ht="12" customHeight="1" r="53"/>
    <row ht="12" customHeight="1" r="54"/>
    <row ht="12" customHeight="1" r="55"/>
    <row ht="12" customHeight="1" r="56"/>
    <row ht="12" customHeight="1" r="57"/>
    <row ht="12" customHeight="1" r="58"/>
    <row ht="12" customHeight="1" r="59"/>
    <row ht="12" customHeight="1" r="60"/>
    <row ht="12" customHeight="1" r="61"/>
    <row ht="12" customHeight="1" r="62"/>
    <row ht="12" customHeight="1" r="63"/>
    <row ht="12" customHeight="1" r="64"/>
    <row ht="12" customHeight="1" r="65"/>
    <row ht="12" customHeight="1" r="66"/>
    <row ht="12" customHeight="1" r="67"/>
    <row ht="12" customHeight="1" r="68"/>
    <row ht="12" customHeight="1" r="69"/>
    <row ht="12" customHeight="1" r="70"/>
    <row ht="12" customHeight="1" r="71"/>
    <row ht="12" customHeight="1" r="72"/>
    <row ht="12" customHeight="1" r="73"/>
    <row ht="12" customHeight="1" r="74"/>
    <row ht="12" customHeight="1" r="75"/>
    <row ht="12" customHeight="1" r="76"/>
    <row ht="12" customHeight="1" r="77"/>
    <row ht="12" customHeight="1" r="78"/>
    <row ht="12" customHeight="1" r="79"/>
    <row ht="12" customHeight="1" r="80"/>
    <row ht="12" customHeight="1" r="81"/>
    <row ht="12" customHeight="1" r="82"/>
    <row ht="12" customHeight="1" r="83"/>
    <row ht="12" customHeight="1" r="84"/>
    <row ht="12" customHeight="1" r="85"/>
    <row ht="12" customHeight="1" r="86"/>
    <row ht="12" customHeight="1" r="87"/>
    <row ht="12" customHeight="1" r="88"/>
    <row ht="12" customHeight="1" r="89"/>
    <row ht="12" customHeight="1" r="90"/>
    <row ht="12" customHeight="1" r="91"/>
    <row ht="12" customHeight="1" r="92"/>
    <row ht="12" customHeight="1" r="93"/>
    <row ht="12" customHeight="1" r="94"/>
    <row ht="12" customHeight="1" r="95"/>
    <row ht="12" customHeight="1" r="96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5.75" customHeight="1" r="221"/>
    <row ht="15.75" customHeight="1" r="222"/>
    <row ht="15.75" customHeight="1" r="223"/>
    <row ht="15.75" customHeight="1" r="224"/>
    <row ht="15.75" customHeight="1" r="225"/>
    <row ht="15.75" customHeight="1" r="226"/>
    <row ht="15.75" customHeight="1" r="227"/>
    <row ht="15.75" customHeight="1" r="228"/>
    <row ht="15.75" customHeight="1" r="229"/>
    <row ht="15.75" customHeight="1" r="230"/>
    <row ht="15.75" customHeight="1" r="231"/>
    <row ht="15.75" customHeight="1" r="232"/>
    <row ht="15.75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mergeCells count="1">
    <mergeCell ref="A3:B3"/>
  </mergeCells>
  <pageMargins left="0.70833333333333304" right="0.70833333333333304" top="1.141805555555556" bottom="1.3570833333333301" header="0" footer="0"/>
  <pageSetup orientation="portrait"/>
  <headerFooter>
    <oddFooter>&amp;L&amp;A&amp;R&amp;D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pane="topLeft" activeCell="D151" sqref="D151"/>
    </sheetView>
  </sheetViews>
  <sheetFormatPr baseColWidth="8" defaultColWidth="12.625" defaultRowHeight="15"/>
  <cols>
    <col min="1" max="1" width="33.875" customWidth="1"/>
    <col min="2" max="2" width="9.875" customWidth="1"/>
    <col min="3" max="3" width="11.75" customWidth="1"/>
    <col min="4" max="4" width="9.875" customWidth="1"/>
    <col min="5" max="5" width="11.75" customWidth="1"/>
    <col min="6" max="6" width="8.5" customWidth="1"/>
  </cols>
  <sheetData>
    <row ht="21" customHeight="1" r="1" spans="1:5">
      <c r="A1" s="1" t="s">
        <v>0</v>
      </c>
      <c r="B1" s="6"/>
      <c r="C1" s="6"/>
      <c r="D1" s="20"/>
      <c r="E1" s="21"/>
    </row>
    <row ht="13.5" customHeight="1" r="2" spans="1:5">
      <c r="A2" s="9" t="s">
        <v>18</v>
      </c>
      <c r="B2" s="6"/>
      <c r="C2" s="6"/>
      <c r="D2" s="20"/>
      <c r="E2" s="21"/>
    </row>
    <row ht="13.5" customHeight="1" r="3" spans="1:5">
      <c r="A3" s="22"/>
      <c r="B3" s="6"/>
      <c r="C3" s="6"/>
      <c r="D3" s="20"/>
      <c r="E3" s="21"/>
    </row>
    <row ht="14.25" customHeight="1" r="4" spans="1:5">
      <c r="A4" s="23" t="s">
        <v>19</v>
      </c>
      <c r="B4" s="23" t="s">
        <v>20</v>
      </c>
      <c r="C4" s="23" t="s">
        <v>21</v>
      </c>
      <c r="D4" s="24" t="s">
        <v>22</v>
      </c>
      <c r="E4" s="25" t="s">
        <v>23</v>
      </c>
    </row>
    <row ht="13.5" customHeight="1" r="5" spans="1:5">
      <c r="A5" s="101" t="s">
        <v>24</v>
      </c>
      <c r="B5" s="102"/>
      <c r="C5" s="103"/>
      <c r="D5" s="104"/>
      <c r="E5" s="26">
        <f>SUM(C5*D5)</f>
        <v>0</v>
      </c>
    </row>
    <row ht="13.5" customHeight="1" r="6" spans="1:5">
      <c r="A6" s="105" t="s">
        <v>25</v>
      </c>
      <c r="B6" s="102"/>
      <c r="C6" s="103">
        <v>250</v>
      </c>
      <c r="D6" s="104"/>
      <c r="E6" s="26">
        <f>SUM(C6*D6)</f>
        <v>0</v>
      </c>
    </row>
    <row ht="13.5" customHeight="1" r="7" spans="1:5">
      <c r="A7" s="102" t="s">
        <v>26</v>
      </c>
      <c r="B7" s="102" t="s">
        <v>27</v>
      </c>
      <c r="C7" s="103">
        <v>6.66</v>
      </c>
      <c r="D7" s="104">
        <v>2</v>
      </c>
      <c r="E7" s="26">
        <f>C7*D7</f>
        <v>13.32</v>
      </c>
    </row>
    <row ht="13.5" customHeight="1" r="8" spans="1:5">
      <c r="A8" s="15" t="s">
        <v>28</v>
      </c>
      <c r="B8" s="15" t="s">
        <v>29</v>
      </c>
      <c r="C8" s="27">
        <v>3.28</v>
      </c>
      <c r="D8" s="104">
        <v>4</v>
      </c>
      <c r="E8" s="26">
        <f>SUM(C8*D8)</f>
        <v>13.12</v>
      </c>
    </row>
    <row ht="13.5" customHeight="1" r="9" spans="1:5">
      <c r="A9" s="15" t="s">
        <v>30</v>
      </c>
      <c r="B9" s="15" t="s">
        <v>27</v>
      </c>
      <c r="C9" s="27">
        <v>5.73</v>
      </c>
      <c r="D9" s="104">
        <v>4</v>
      </c>
      <c r="E9" s="26">
        <f>SUM(C9*D9)</f>
        <v>22.92</v>
      </c>
    </row>
    <row ht="13.5" customHeight="1" r="10" spans="1:5">
      <c r="A10" s="15" t="s">
        <v>31</v>
      </c>
      <c r="B10" s="15" t="s">
        <v>32</v>
      </c>
      <c r="C10" s="27"/>
      <c r="D10" s="104">
        <v>0</v>
      </c>
      <c r="E10" s="26">
        <f>SUM(C10*D10)</f>
        <v>0</v>
      </c>
    </row>
    <row ht="13.5" customHeight="1" r="11" spans="1:5">
      <c r="A11" s="15" t="s">
        <v>33</v>
      </c>
      <c r="B11" s="15" t="s">
        <v>34</v>
      </c>
      <c r="C11" s="27"/>
      <c r="D11" s="104">
        <v>0</v>
      </c>
      <c r="E11" s="26">
        <f>SUM(C11*D11)</f>
        <v>0</v>
      </c>
    </row>
    <row ht="13.5" customHeight="1" r="12" spans="1:5">
      <c r="A12" s="15" t="s">
        <v>35</v>
      </c>
      <c r="B12" s="15" t="s">
        <v>36</v>
      </c>
      <c r="C12" s="27">
        <v>2.93</v>
      </c>
      <c r="D12" s="104">
        <v>0</v>
      </c>
      <c r="E12" s="26">
        <f>SUM(C12*D12)</f>
        <v>0</v>
      </c>
    </row>
    <row ht="13.5" customHeight="1" r="13" spans="1:5">
      <c r="A13" s="28" t="s">
        <v>37</v>
      </c>
      <c r="B13" s="15"/>
      <c r="C13" s="27"/>
      <c r="D13" s="104"/>
      <c r="E13" s="26">
        <f>SUM(C13*D13)</f>
        <v>0</v>
      </c>
    </row>
    <row ht="13.5" customHeight="1" r="14" spans="1:5">
      <c r="A14" s="15" t="s">
        <v>38</v>
      </c>
      <c r="B14" s="15" t="s">
        <v>39</v>
      </c>
      <c r="C14" s="27">
        <v>37.11</v>
      </c>
      <c r="D14" s="104">
        <v>0</v>
      </c>
      <c r="E14" s="26">
        <f>C14*D14</f>
        <v>0</v>
      </c>
    </row>
    <row ht="13.5" customHeight="1" r="15" spans="1:5">
      <c r="A15" s="15" t="s">
        <v>40</v>
      </c>
      <c r="B15" s="15" t="s">
        <v>27</v>
      </c>
      <c r="C15" s="27">
        <v>14.17</v>
      </c>
      <c r="D15" s="104"/>
      <c r="E15" s="26">
        <f>SUM(C15*D15)</f>
        <v>0</v>
      </c>
    </row>
    <row ht="13.5" customHeight="1" r="16" spans="1:5">
      <c r="A16" s="15" t="s">
        <v>41</v>
      </c>
      <c r="B16" s="15" t="s">
        <v>27</v>
      </c>
      <c r="C16" s="27">
        <v>4.68</v>
      </c>
      <c r="D16" s="104">
        <v>5</v>
      </c>
      <c r="E16" s="26">
        <f>SUM(C16*D16)</f>
        <v>23.4</v>
      </c>
    </row>
    <row ht="13.5" customHeight="1" r="17" spans="1:5">
      <c r="A17" s="15" t="s">
        <v>42</v>
      </c>
      <c r="B17" s="15" t="s">
        <v>36</v>
      </c>
      <c r="C17" s="27">
        <v>1.74</v>
      </c>
      <c r="D17" s="106">
        <v>2</v>
      </c>
      <c r="E17" s="26">
        <f>SUM(C17*D17)</f>
        <v>3.48</v>
      </c>
    </row>
    <row ht="13.5" customHeight="1" r="18" spans="1:5">
      <c r="A18" s="15" t="s">
        <v>43</v>
      </c>
      <c r="B18" s="13" t="s">
        <v>29</v>
      </c>
      <c r="C18" s="29">
        <f>49.02/8</f>
        <v>6.1275</v>
      </c>
      <c r="D18" s="104">
        <v>6</v>
      </c>
      <c r="E18" s="26">
        <f>SUM(C18*D18)</f>
        <v>36.765</v>
      </c>
    </row>
    <row ht="13.5" customHeight="1" r="19" spans="1:5">
      <c r="A19" s="15" t="s">
        <v>44</v>
      </c>
      <c r="B19" s="13" t="s">
        <v>27</v>
      </c>
      <c r="C19" s="29">
        <v>7.1</v>
      </c>
      <c r="D19" s="104">
        <v>0</v>
      </c>
      <c r="E19" s="26">
        <f>SUM(C19*D19)</f>
        <v>0</v>
      </c>
    </row>
    <row ht="13.5" customHeight="1" r="20" spans="1:5">
      <c r="A20" s="15" t="s">
        <v>45</v>
      </c>
      <c r="B20" s="15" t="s">
        <v>27</v>
      </c>
      <c r="C20" s="27">
        <v>21.49</v>
      </c>
      <c r="D20" s="104">
        <v>0</v>
      </c>
      <c r="E20" s="26">
        <f>SUM(C20*D20)</f>
        <v>0</v>
      </c>
    </row>
    <row ht="13.5" customHeight="1" r="21" spans="1:5">
      <c r="A21" s="15" t="s">
        <v>46</v>
      </c>
      <c r="B21" s="13" t="s">
        <v>47</v>
      </c>
      <c r="C21" s="27">
        <v>4.56</v>
      </c>
      <c r="D21" s="104">
        <v>7</v>
      </c>
      <c r="E21" s="26">
        <f>SUM(C21*D21)</f>
        <v>31.92</v>
      </c>
    </row>
    <row ht="13.5" customHeight="1" r="22" spans="1:5">
      <c r="A22" s="15" t="s">
        <v>48</v>
      </c>
      <c r="B22" s="15" t="s">
        <v>36</v>
      </c>
      <c r="C22" s="27">
        <v>1.19</v>
      </c>
      <c r="D22" s="104">
        <v>27</v>
      </c>
      <c r="E22" s="26">
        <f>SUM(C22*D22)</f>
        <v>32.13</v>
      </c>
    </row>
    <row ht="13.5" customHeight="1" r="23" spans="1:5">
      <c r="A23" s="15" t="s">
        <v>49</v>
      </c>
      <c r="B23" s="15" t="s">
        <v>27</v>
      </c>
      <c r="C23" s="27">
        <v>3.97</v>
      </c>
      <c r="D23" s="104">
        <v>3</v>
      </c>
      <c r="E23" s="26">
        <f>SUM(C23*D23)</f>
        <v>11.91</v>
      </c>
    </row>
    <row r="24">
      <c r="A24" s="0" t="s">
        <v>1002</v>
      </c>
      <c r="B24" s="0" t="s">
        <v>27</v>
      </c>
      <c r="C24" s="0">
        <f>22/4</f>
        <v>5.5</v>
      </c>
      <c r="D24" s="0">
        <v>3.5</v>
      </c>
      <c r="E24" s="0">
        <f>SUM(D24*C24)</f>
        <v>19.25</v>
      </c>
    </row>
    <row r="25">
      <c r="A25" s="0" t="s">
        <v>1003</v>
      </c>
      <c r="B25" s="0" t="s">
        <v>27</v>
      </c>
      <c r="D25" s="0">
        <v>8</v>
      </c>
    </row>
    <row ht="13.5" customHeight="1" r="26" spans="1:5">
      <c r="A26" s="15" t="s">
        <v>50</v>
      </c>
      <c r="B26" s="13" t="s">
        <v>36</v>
      </c>
      <c r="C26" s="29">
        <v>2.53</v>
      </c>
      <c r="D26" s="104">
        <v>0</v>
      </c>
      <c r="E26" s="26">
        <f>SUM(C26*D26)</f>
        <v>0</v>
      </c>
    </row>
    <row ht="13.5" customHeight="1" r="27" spans="1:5">
      <c r="A27" s="28" t="s">
        <v>51</v>
      </c>
      <c r="B27" s="15"/>
      <c r="C27" s="27"/>
      <c r="D27" s="104"/>
      <c r="E27" s="26">
        <f>SUM(C27*D27)</f>
        <v>0</v>
      </c>
    </row>
    <row ht="13.5" customHeight="1" r="28" spans="1:5">
      <c r="A28" s="15" t="s">
        <v>52</v>
      </c>
      <c r="B28" s="15" t="s">
        <v>29</v>
      </c>
      <c r="C28" s="27">
        <v>2.39</v>
      </c>
      <c r="D28" s="106">
        <v>0</v>
      </c>
      <c r="E28" s="26">
        <f>SUM(C28*D28)</f>
        <v>0</v>
      </c>
    </row>
    <row ht="13.5" customHeight="1" r="29" spans="1:5">
      <c r="A29" s="15" t="s">
        <v>53</v>
      </c>
      <c r="B29" s="15" t="s">
        <v>54</v>
      </c>
      <c r="C29" s="27">
        <v>20.28</v>
      </c>
      <c r="D29" s="104">
        <v>1</v>
      </c>
      <c r="E29" s="26">
        <f>SUM(C29*D29)</f>
        <v>20.28</v>
      </c>
    </row>
    <row ht="13.5" customHeight="1" r="30" spans="1:5">
      <c r="A30" s="15" t="s">
        <v>55</v>
      </c>
      <c r="B30" s="15" t="s">
        <v>27</v>
      </c>
      <c r="C30" s="30">
        <v>6.78</v>
      </c>
      <c r="D30" s="104">
        <v>0</v>
      </c>
      <c r="E30" s="26">
        <f>SUM(C30*D30)</f>
        <v>0</v>
      </c>
    </row>
    <row ht="13.5" customHeight="1" r="31" spans="1:5">
      <c r="A31" s="15" t="s">
        <v>56</v>
      </c>
      <c r="B31" s="15" t="s">
        <v>27</v>
      </c>
      <c r="C31" s="30">
        <v>4.98</v>
      </c>
      <c r="D31" s="104">
        <v>0</v>
      </c>
      <c r="E31" s="26">
        <f>SUM(C31*D31)</f>
        <v>0</v>
      </c>
    </row>
    <row ht="13.5" customHeight="1" r="32" spans="1:5">
      <c r="A32" s="28" t="s">
        <v>57</v>
      </c>
      <c r="B32" s="15"/>
      <c r="C32" s="27"/>
      <c r="D32" s="104"/>
      <c r="E32" s="26">
        <f>SUM(C32*D32)</f>
        <v>0</v>
      </c>
    </row>
    <row ht="13.5" customHeight="1" r="33" spans="1:5">
      <c r="A33" s="15" t="s">
        <v>58</v>
      </c>
      <c r="B33" s="15" t="s">
        <v>59</v>
      </c>
      <c r="C33" s="27">
        <v>11.61</v>
      </c>
      <c r="D33" s="104">
        <v>0</v>
      </c>
      <c r="E33" s="26">
        <f>SUM(C33*D33)</f>
        <v>0</v>
      </c>
    </row>
    <row ht="13.5" customHeight="1" r="34" spans="1:5">
      <c r="A34" s="31" t="s">
        <v>60</v>
      </c>
      <c r="B34" s="15" t="s">
        <v>61</v>
      </c>
      <c r="C34" s="27">
        <v>3.94</v>
      </c>
      <c r="D34" s="104">
        <v>0</v>
      </c>
      <c r="E34" s="26">
        <f>SUM(C34*D34)</f>
        <v>0</v>
      </c>
    </row>
    <row ht="13.5" customHeight="1" r="35" spans="1:5">
      <c r="A35" s="15" t="s">
        <v>62</v>
      </c>
      <c r="B35" s="15" t="s">
        <v>63</v>
      </c>
      <c r="C35" s="27">
        <v>3.42</v>
      </c>
      <c r="D35" s="104">
        <v>8</v>
      </c>
      <c r="E35" s="26">
        <f>SUM(C35*D35)</f>
        <v>27.36</v>
      </c>
    </row>
    <row ht="13.5" customHeight="1" r="36" spans="1:5">
      <c r="A36" s="15" t="s">
        <v>64</v>
      </c>
      <c r="B36" s="15" t="s">
        <v>61</v>
      </c>
      <c r="C36" s="27">
        <v>2.82</v>
      </c>
      <c r="D36" s="104">
        <v>1</v>
      </c>
      <c r="E36" s="26">
        <f>SUM(C36*D36)</f>
        <v>2.82</v>
      </c>
    </row>
    <row ht="13.5" customHeight="1" r="37" spans="1:5">
      <c r="A37" s="15" t="s">
        <v>65</v>
      </c>
      <c r="B37" s="15" t="s">
        <v>66</v>
      </c>
      <c r="C37" s="27">
        <v>5.52</v>
      </c>
      <c r="D37" s="104">
        <v>0</v>
      </c>
      <c r="E37" s="26">
        <f>SUM(C37*D37)</f>
        <v>0</v>
      </c>
    </row>
    <row ht="13.5" customHeight="1" r="38" spans="1:5">
      <c r="A38" s="15" t="s">
        <v>67</v>
      </c>
      <c r="B38" s="15" t="s">
        <v>68</v>
      </c>
      <c r="C38" s="27">
        <v>3.18</v>
      </c>
      <c r="D38" s="104">
        <v>0</v>
      </c>
      <c r="E38" s="26">
        <f>SUM(C38*D38)</f>
        <v>0</v>
      </c>
    </row>
    <row ht="13.5" customHeight="1" r="39" spans="1:5">
      <c r="A39" s="15" t="s">
        <v>69</v>
      </c>
      <c r="B39" s="15" t="s">
        <v>61</v>
      </c>
      <c r="C39" s="27">
        <v>7.64</v>
      </c>
      <c r="D39" s="104">
        <v>1</v>
      </c>
      <c r="E39" s="26">
        <f>SUM(C39*D39)</f>
        <v>7.64</v>
      </c>
    </row>
    <row ht="13.5" customHeight="1" r="40" spans="1:5">
      <c r="A40" s="15" t="s">
        <v>70</v>
      </c>
      <c r="B40" s="15" t="s">
        <v>71</v>
      </c>
      <c r="C40" s="27">
        <v>1.98</v>
      </c>
      <c r="D40" s="104">
        <v>0</v>
      </c>
      <c r="E40" s="26">
        <f>SUM(C40*D40)</f>
        <v>0</v>
      </c>
    </row>
    <row ht="13.5" customHeight="1" r="41" spans="1:5">
      <c r="A41" s="15" t="s">
        <v>72</v>
      </c>
      <c r="B41" s="15" t="s">
        <v>73</v>
      </c>
      <c r="C41" s="27">
        <v>1.16</v>
      </c>
      <c r="D41" s="104">
        <v>0</v>
      </c>
      <c r="E41" s="26">
        <f>SUM(C41*D41)</f>
        <v>0</v>
      </c>
    </row>
    <row ht="13.5" customHeight="1" r="42" spans="1:5">
      <c r="A42" s="15" t="s">
        <v>74</v>
      </c>
      <c r="B42" s="15" t="s">
        <v>61</v>
      </c>
      <c r="C42" s="27">
        <v>3.53</v>
      </c>
      <c r="D42" s="104">
        <v>4</v>
      </c>
      <c r="E42" s="26">
        <f>SUM(C42*D42)</f>
        <v>14.12</v>
      </c>
    </row>
    <row ht="13.5" customHeight="1" r="43" spans="1:5">
      <c r="A43" s="15" t="s">
        <v>75</v>
      </c>
      <c r="B43" s="15">
        <v>2.5</v>
      </c>
      <c r="C43" s="27">
        <v>8</v>
      </c>
      <c r="D43" s="104">
        <v>1</v>
      </c>
      <c r="E43" s="26">
        <f>SUM(C43*D43)</f>
        <v>8</v>
      </c>
    </row>
    <row ht="13.5" customHeight="1" r="44" spans="1:5">
      <c r="A44" s="15" t="s">
        <v>76</v>
      </c>
      <c r="B44" s="15" t="s">
        <v>77</v>
      </c>
      <c r="C44" s="27">
        <v>5.01</v>
      </c>
      <c r="D44" s="104">
        <v>0</v>
      </c>
      <c r="E44" s="26">
        <f>SUM(C44*D44)</f>
        <v>0</v>
      </c>
    </row>
    <row ht="13.5" customHeight="1" r="45" spans="1:5">
      <c r="A45" s="15" t="s">
        <v>78</v>
      </c>
      <c r="B45" s="15" t="s">
        <v>79</v>
      </c>
      <c r="C45" s="27">
        <v>3.46</v>
      </c>
      <c r="D45" s="104">
        <v>0</v>
      </c>
      <c r="E45" s="26">
        <f>SUM(C45*D45)</f>
        <v>0</v>
      </c>
    </row>
    <row ht="13.5" customHeight="1" r="46" spans="1:5">
      <c r="A46" s="15" t="s">
        <v>80</v>
      </c>
      <c r="B46" s="15" t="s">
        <v>81</v>
      </c>
      <c r="C46" s="27"/>
      <c r="D46" s="104"/>
      <c r="E46" s="26"/>
    </row>
    <row ht="13.5" customHeight="1" r="47" spans="1:5">
      <c r="A47" s="15" t="s">
        <v>82</v>
      </c>
      <c r="B47" s="15" t="s">
        <v>61</v>
      </c>
      <c r="C47" s="27"/>
      <c r="D47" s="104">
        <v>0</v>
      </c>
      <c r="E47" s="26"/>
    </row>
    <row ht="13.5" customHeight="1" r="48" spans="1:5">
      <c r="A48" s="15" t="s">
        <v>83</v>
      </c>
      <c r="B48" s="15">
        <v>2.15</v>
      </c>
      <c r="C48" s="27">
        <f>28.96/6</f>
        <v>4.82666666666667</v>
      </c>
      <c r="D48" s="104">
        <v>3</v>
      </c>
      <c r="E48" s="26">
        <f>C48*D48</f>
        <v>14.48</v>
      </c>
    </row>
    <row ht="13.5" customHeight="1" r="49" spans="1:5">
      <c r="A49" s="28" t="s">
        <v>84</v>
      </c>
      <c r="B49" s="15"/>
      <c r="C49" s="27"/>
      <c r="D49" s="104"/>
      <c r="E49" s="26">
        <f>SUM(C49*D49)</f>
        <v>0</v>
      </c>
    </row>
    <row ht="13.5" customHeight="1" r="50" spans="1:5">
      <c r="A50" s="15" t="s">
        <v>85</v>
      </c>
      <c r="B50" s="15" t="s">
        <v>68</v>
      </c>
      <c r="C50" s="27">
        <v>1.47</v>
      </c>
      <c r="D50" s="104">
        <v>0</v>
      </c>
      <c r="E50" s="26">
        <f>SUM(C50*D50)</f>
        <v>0</v>
      </c>
    </row>
    <row ht="13.5" customHeight="1" r="51" spans="1:5">
      <c r="A51" s="15" t="s">
        <v>86</v>
      </c>
      <c r="B51" s="15" t="s">
        <v>87</v>
      </c>
      <c r="C51" s="27">
        <v>4.4</v>
      </c>
      <c r="D51" s="104">
        <v>0</v>
      </c>
      <c r="E51" s="26">
        <f>SUM(C51*D51)</f>
        <v>0</v>
      </c>
    </row>
    <row ht="13.5" customHeight="1" r="52" spans="1:5">
      <c r="A52" s="15" t="s">
        <v>88</v>
      </c>
      <c r="B52" s="15" t="s">
        <v>89</v>
      </c>
      <c r="C52" s="27">
        <v>5.98</v>
      </c>
      <c r="D52" s="104">
        <v>1</v>
      </c>
      <c r="E52" s="26">
        <f>SUM(C52*D52)</f>
        <v>5.98</v>
      </c>
    </row>
    <row ht="13.5" customHeight="1" r="53" spans="1:5">
      <c r="A53" s="15" t="s">
        <v>90</v>
      </c>
      <c r="B53" s="15" t="s">
        <v>91</v>
      </c>
      <c r="C53" s="27">
        <v>2.93</v>
      </c>
      <c r="D53" s="104">
        <v>0.4</v>
      </c>
      <c r="E53" s="26">
        <f>SUM(C53*D53)</f>
        <v>1.172</v>
      </c>
    </row>
    <row ht="13.5" customHeight="1" r="54" spans="1:5">
      <c r="A54" s="15" t="s">
        <v>92</v>
      </c>
      <c r="B54" s="15" t="s">
        <v>93</v>
      </c>
      <c r="C54" s="27">
        <v>4.16</v>
      </c>
      <c r="D54" s="104">
        <v>0.5</v>
      </c>
      <c r="E54" s="26">
        <f>SUM(C54*D54)</f>
        <v>2.08</v>
      </c>
    </row>
    <row ht="13.5" customHeight="1" r="55" spans="1:5">
      <c r="A55" s="15" t="s">
        <v>94</v>
      </c>
      <c r="B55" s="15" t="s">
        <v>91</v>
      </c>
      <c r="C55" s="27">
        <v>9.56</v>
      </c>
      <c r="D55" s="104">
        <v>0</v>
      </c>
      <c r="E55" s="26">
        <f>SUM(C55*D55)</f>
        <v>0</v>
      </c>
    </row>
    <row ht="13.5" customHeight="1" r="56" spans="1:5">
      <c r="A56" s="15" t="s">
        <v>95</v>
      </c>
      <c r="B56" s="15" t="s">
        <v>91</v>
      </c>
      <c r="C56" s="27">
        <v>4.16</v>
      </c>
      <c r="D56" s="104">
        <v>1</v>
      </c>
      <c r="E56" s="26">
        <f>SUM(C56*D56)</f>
        <v>4.16</v>
      </c>
    </row>
    <row ht="13.5" customHeight="1" r="57" spans="1:5">
      <c r="A57" s="15" t="s">
        <v>96</v>
      </c>
      <c r="B57" s="15"/>
      <c r="C57" s="27"/>
      <c r="D57" s="104">
        <v>0.5</v>
      </c>
      <c r="E57" s="26">
        <f>SUM(C57*D57)</f>
        <v>0</v>
      </c>
    </row>
    <row ht="13.5" customHeight="1" r="58" spans="1:5">
      <c r="A58" s="15" t="s">
        <v>97</v>
      </c>
      <c r="B58" s="15" t="s">
        <v>98</v>
      </c>
      <c r="C58" s="27">
        <v>13.22</v>
      </c>
      <c r="D58" s="104">
        <v>0</v>
      </c>
      <c r="E58" s="26">
        <f>SUM(C58*D58)</f>
        <v>0</v>
      </c>
    </row>
    <row ht="13.5" customHeight="1" r="59" spans="1:5">
      <c r="A59" s="15" t="s">
        <v>99</v>
      </c>
      <c r="B59" s="15" t="s">
        <v>100</v>
      </c>
      <c r="C59" s="27">
        <v>9.58</v>
      </c>
      <c r="D59" s="104">
        <v>1.3</v>
      </c>
      <c r="E59" s="26">
        <f>SUM(C59*D59)</f>
        <v>12.454</v>
      </c>
    </row>
    <row ht="13.5" customHeight="1" r="60" spans="1:5">
      <c r="A60" s="15" t="s">
        <v>101</v>
      </c>
      <c r="B60" s="15" t="s">
        <v>36</v>
      </c>
      <c r="C60" s="27">
        <v>4.46</v>
      </c>
      <c r="D60" s="104">
        <v>4</v>
      </c>
      <c r="E60" s="26">
        <f>SUM(C60*D60)</f>
        <v>17.84</v>
      </c>
    </row>
    <row ht="13.5" customHeight="1" r="61" spans="1:5">
      <c r="A61" s="15" t="s">
        <v>102</v>
      </c>
      <c r="B61" s="15" t="s">
        <v>103</v>
      </c>
      <c r="C61" s="27">
        <v>5.01</v>
      </c>
      <c r="D61" s="104">
        <v>0.5</v>
      </c>
      <c r="E61" s="26">
        <f>SUM(C61*D61)</f>
        <v>2.505</v>
      </c>
    </row>
    <row ht="13.5" customHeight="1" r="62" spans="1:5">
      <c r="A62" s="15" t="s">
        <v>104</v>
      </c>
      <c r="B62" s="15" t="s">
        <v>36</v>
      </c>
      <c r="C62" s="27">
        <v>8.7</v>
      </c>
      <c r="D62" s="104">
        <v>0.5</v>
      </c>
      <c r="E62" s="26">
        <f>SUM(C62*D62)</f>
        <v>4.35</v>
      </c>
    </row>
    <row ht="13.5" customHeight="1" r="63" spans="1:5">
      <c r="A63" s="15" t="s">
        <v>105</v>
      </c>
      <c r="B63" s="15" t="s">
        <v>106</v>
      </c>
      <c r="C63" s="27">
        <v>9.72</v>
      </c>
      <c r="D63" s="104">
        <v>0.3</v>
      </c>
      <c r="E63" s="26">
        <f>SUM(C63*D63)</f>
        <v>2.916</v>
      </c>
    </row>
    <row ht="13.5" customHeight="1" r="64" spans="1:5">
      <c r="A64" s="15" t="s">
        <v>107</v>
      </c>
      <c r="B64" s="15" t="s">
        <v>91</v>
      </c>
      <c r="C64" s="27">
        <v>11.97</v>
      </c>
      <c r="D64" s="104">
        <v>1</v>
      </c>
      <c r="E64" s="26">
        <f>SUM(C64*D64)</f>
        <v>11.97</v>
      </c>
    </row>
    <row ht="13.5" customHeight="1" r="65" spans="1:5">
      <c r="A65" s="15" t="s">
        <v>108</v>
      </c>
      <c r="B65" s="15" t="s">
        <v>36</v>
      </c>
      <c r="C65" s="27">
        <v>4.38</v>
      </c>
      <c r="D65" s="104">
        <v>0</v>
      </c>
      <c r="E65" s="26">
        <f>SUM(C65*D65)</f>
        <v>0</v>
      </c>
    </row>
    <row ht="13.5" customHeight="1" r="66" spans="1:5">
      <c r="A66" s="15" t="s">
        <v>109</v>
      </c>
      <c r="B66" s="15"/>
      <c r="C66" s="27"/>
      <c r="D66" s="104">
        <v>0.6</v>
      </c>
      <c r="E66" s="26">
        <f>SUM(C66*D66)</f>
        <v>0</v>
      </c>
    </row>
    <row ht="13.5" customHeight="1" r="67" spans="1:5">
      <c r="A67" s="15" t="s">
        <v>110</v>
      </c>
      <c r="B67" s="15" t="s">
        <v>111</v>
      </c>
      <c r="C67" s="27">
        <v>5.1</v>
      </c>
      <c r="D67" s="104"/>
      <c r="E67" s="26">
        <f>SUM(C67*D67)</f>
        <v>0</v>
      </c>
    </row>
    <row ht="13.5" customHeight="1" r="68" spans="1:5">
      <c r="A68" s="15" t="s">
        <v>112</v>
      </c>
      <c r="B68" s="15" t="s">
        <v>98</v>
      </c>
      <c r="C68" s="27">
        <v>10.93</v>
      </c>
      <c r="D68" s="104"/>
      <c r="E68" s="26">
        <f>SUM(C68*D68)</f>
        <v>0</v>
      </c>
    </row>
    <row ht="13.5" customHeight="1" r="69" spans="1:5">
      <c r="A69" s="15" t="s">
        <v>113</v>
      </c>
      <c r="B69" s="15" t="s">
        <v>106</v>
      </c>
      <c r="C69" s="27">
        <v>7.21</v>
      </c>
      <c r="D69" s="104">
        <v>0</v>
      </c>
      <c r="E69" s="26">
        <f>SUM(C69*D69)</f>
        <v>0</v>
      </c>
    </row>
    <row ht="13.5" customHeight="1" r="70" spans="1:5">
      <c r="A70" s="15" t="s">
        <v>114</v>
      </c>
      <c r="B70" s="15" t="s">
        <v>115</v>
      </c>
      <c r="C70" s="27">
        <v>14.75</v>
      </c>
      <c r="D70" s="104">
        <v>0</v>
      </c>
      <c r="E70" s="26">
        <f>SUM(C70*D70)</f>
        <v>0</v>
      </c>
    </row>
    <row ht="13.5" customHeight="1" r="71" spans="1:5">
      <c r="A71" s="15" t="s">
        <v>116</v>
      </c>
      <c r="B71" s="15" t="s">
        <v>27</v>
      </c>
      <c r="C71" s="27">
        <v>1.98</v>
      </c>
      <c r="D71" s="104"/>
      <c r="E71" s="26">
        <f>SUM(C71*D71)</f>
        <v>0</v>
      </c>
    </row>
    <row ht="13.5" customHeight="1" r="72" spans="1:5">
      <c r="A72" s="15" t="s">
        <v>117</v>
      </c>
      <c r="B72" s="15" t="s">
        <v>118</v>
      </c>
      <c r="C72" s="27"/>
      <c r="D72" s="104">
        <v>0.6</v>
      </c>
      <c r="E72" s="26"/>
    </row>
    <row ht="13.5" customHeight="1" r="73" spans="1:5">
      <c r="A73" s="15" t="s">
        <v>119</v>
      </c>
      <c r="B73" s="15" t="s">
        <v>120</v>
      </c>
      <c r="C73" s="27">
        <v>1.75</v>
      </c>
      <c r="D73" s="104">
        <v>0.6</v>
      </c>
      <c r="E73" s="26">
        <f>SUM(C73*D73)</f>
        <v>1.05</v>
      </c>
    </row>
    <row ht="13.5" customHeight="1" r="74" spans="1:5">
      <c r="A74" s="15" t="s">
        <v>121</v>
      </c>
      <c r="B74" s="15" t="s">
        <v>106</v>
      </c>
      <c r="C74" s="27">
        <v>3.18</v>
      </c>
      <c r="D74" s="104">
        <v>1</v>
      </c>
      <c r="E74" s="26">
        <f>SUM(C74*D74)</f>
        <v>3.18</v>
      </c>
    </row>
    <row ht="13.5" customHeight="1" r="75" spans="1:5">
      <c r="A75" s="15" t="s">
        <v>122</v>
      </c>
      <c r="B75" s="15" t="s">
        <v>123</v>
      </c>
      <c r="C75" s="27">
        <v>2.02</v>
      </c>
      <c r="D75" s="104">
        <v>0</v>
      </c>
      <c r="E75" s="26">
        <f>SUM(C75*D75)</f>
        <v>0</v>
      </c>
    </row>
    <row ht="13.5" customHeight="1" r="76" spans="1:5">
      <c r="A76" s="15" t="s">
        <v>124</v>
      </c>
      <c r="B76" s="15" t="s">
        <v>125</v>
      </c>
      <c r="C76" s="27">
        <v>2.34</v>
      </c>
      <c r="D76" s="104">
        <v>0</v>
      </c>
      <c r="E76" s="26">
        <f>SUM(C76*D76)</f>
        <v>0</v>
      </c>
    </row>
    <row ht="13.5" customHeight="1" r="77" spans="1:5">
      <c r="A77" s="15" t="s">
        <v>126</v>
      </c>
      <c r="B77" s="15" t="s">
        <v>127</v>
      </c>
      <c r="C77" s="27">
        <v>4.04</v>
      </c>
      <c r="D77" s="104"/>
      <c r="E77" s="26">
        <f>SUM(C77*D77)</f>
        <v>0</v>
      </c>
    </row>
    <row ht="13.5" customHeight="1" r="78" spans="1:5">
      <c r="A78" s="15" t="s">
        <v>128</v>
      </c>
      <c r="B78" s="15" t="s">
        <v>129</v>
      </c>
      <c r="C78" s="27">
        <v>10.84</v>
      </c>
      <c r="D78" s="104"/>
      <c r="E78" s="26">
        <f>SUM(C78*D78)</f>
        <v>0</v>
      </c>
    </row>
    <row ht="13.5" customHeight="1" r="79" spans="1:5">
      <c r="A79" s="15" t="s">
        <v>130</v>
      </c>
      <c r="B79" s="15" t="s">
        <v>129</v>
      </c>
      <c r="C79" s="27">
        <v>1.31</v>
      </c>
      <c r="D79" s="104">
        <v>0</v>
      </c>
      <c r="E79" s="26">
        <f>SUM(C79*D79)</f>
        <v>0</v>
      </c>
    </row>
    <row ht="13.5" customHeight="1" r="80" spans="1:5">
      <c r="A80" s="15" t="s">
        <v>131</v>
      </c>
      <c r="B80" s="15"/>
      <c r="C80" s="27">
        <v>7.58</v>
      </c>
      <c r="D80" s="104">
        <v>0</v>
      </c>
      <c r="E80" s="26">
        <f>SUM(C80*D80)</f>
        <v>0</v>
      </c>
    </row>
    <row ht="13.5" customHeight="1" r="81" spans="1:5">
      <c r="A81" s="15" t="s">
        <v>132</v>
      </c>
      <c r="B81" s="15" t="s">
        <v>133</v>
      </c>
      <c r="C81" s="27">
        <v>4.49</v>
      </c>
      <c r="D81" s="104">
        <v>0</v>
      </c>
      <c r="E81" s="26">
        <f>SUM(C81*D81)</f>
        <v>0</v>
      </c>
    </row>
    <row ht="13.5" customHeight="1" r="82" spans="1:5">
      <c r="A82" s="15" t="s">
        <v>134</v>
      </c>
      <c r="B82" s="15" t="s">
        <v>36</v>
      </c>
      <c r="C82" s="27"/>
      <c r="D82" s="104">
        <v>0.8</v>
      </c>
      <c r="E82" s="26">
        <f>SUM(C82*D82)</f>
        <v>0</v>
      </c>
    </row>
    <row ht="13.5" customHeight="1" r="83" spans="1:5">
      <c r="A83" s="15" t="s">
        <v>135</v>
      </c>
      <c r="B83" s="15" t="s">
        <v>136</v>
      </c>
      <c r="C83" s="27">
        <v>3.06</v>
      </c>
      <c r="D83" s="104">
        <v>0</v>
      </c>
      <c r="E83" s="26">
        <f>SUM(C83*D83)</f>
        <v>0</v>
      </c>
    </row>
    <row ht="13.5" customHeight="1" r="84" spans="1:5">
      <c r="A84" s="28" t="s">
        <v>137</v>
      </c>
      <c r="B84" s="15"/>
      <c r="C84" s="27"/>
      <c r="D84" s="104"/>
      <c r="E84" s="26">
        <f>SUM(C84*D84)</f>
        <v>0</v>
      </c>
    </row>
    <row ht="13.5" customHeight="1" r="85" spans="1:5">
      <c r="A85" s="15" t="s">
        <v>138</v>
      </c>
      <c r="B85" s="15" t="s">
        <v>139</v>
      </c>
      <c r="C85" s="27">
        <v>11.32</v>
      </c>
      <c r="D85" s="104">
        <v>1.5</v>
      </c>
      <c r="E85" s="26">
        <f>SUM(C85*D85)</f>
        <v>16.98</v>
      </c>
    </row>
    <row ht="13.5" customHeight="1" r="86" spans="1:5">
      <c r="A86" s="15" t="s">
        <v>140</v>
      </c>
      <c r="B86" s="15" t="s">
        <v>141</v>
      </c>
      <c r="C86" s="27">
        <v>4.71</v>
      </c>
      <c r="D86" s="104">
        <v>0</v>
      </c>
      <c r="E86" s="26">
        <f>SUM(C86*D86)</f>
        <v>0</v>
      </c>
    </row>
    <row ht="13.5" customHeight="1" r="87" spans="1:5">
      <c r="A87" s="15" t="s">
        <v>142</v>
      </c>
      <c r="B87" s="15" t="s">
        <v>29</v>
      </c>
      <c r="C87" s="27">
        <v>8.84</v>
      </c>
      <c r="D87" s="104">
        <v>2</v>
      </c>
      <c r="E87" s="26">
        <f>SUM(C87*D87)</f>
        <v>17.68</v>
      </c>
    </row>
    <row ht="13.5" customHeight="1" r="88" spans="1:5">
      <c r="A88" s="28" t="s">
        <v>143</v>
      </c>
      <c r="B88" s="15"/>
      <c r="C88" s="27"/>
      <c r="D88" s="104"/>
      <c r="E88" s="26">
        <f>SUM(C88*D88)</f>
        <v>0</v>
      </c>
    </row>
    <row ht="13.5" customHeight="1" r="89" spans="1:5">
      <c r="A89" s="15" t="s">
        <v>144</v>
      </c>
      <c r="B89" s="15" t="s">
        <v>145</v>
      </c>
      <c r="C89" s="27">
        <v>16.9</v>
      </c>
      <c r="D89" s="104"/>
      <c r="E89" s="26">
        <f>SUM(C89*D89)</f>
        <v>0</v>
      </c>
    </row>
    <row ht="13.5" customHeight="1" r="90" spans="1:5">
      <c r="A90" s="15" t="s">
        <v>146</v>
      </c>
      <c r="B90" s="15" t="s">
        <v>145</v>
      </c>
      <c r="C90" s="27">
        <v>10.72</v>
      </c>
      <c r="D90" s="104">
        <v>0</v>
      </c>
      <c r="E90" s="26">
        <f>SUM(C90*D90)</f>
        <v>0</v>
      </c>
    </row>
    <row ht="13.5" customHeight="1" r="91" spans="1:5">
      <c r="A91" s="15" t="s">
        <v>147</v>
      </c>
      <c r="B91" s="15" t="s">
        <v>145</v>
      </c>
      <c r="C91" s="27">
        <v>8.69</v>
      </c>
      <c r="D91" s="104">
        <v>0.6</v>
      </c>
      <c r="E91" s="26">
        <f>SUM(C91*D91)</f>
        <v>5.214</v>
      </c>
    </row>
    <row ht="13.5" customHeight="1" r="92" spans="1:5">
      <c r="A92" s="15" t="s">
        <v>148</v>
      </c>
      <c r="B92" s="15" t="s">
        <v>145</v>
      </c>
      <c r="C92" s="27">
        <v>10.57</v>
      </c>
      <c r="D92" s="104">
        <v>1.3</v>
      </c>
      <c r="E92" s="26">
        <f>SUM(C92*D92)</f>
        <v>13.741</v>
      </c>
    </row>
    <row ht="13.5" customHeight="1" r="93" spans="1:5">
      <c r="A93" s="28" t="s">
        <v>149</v>
      </c>
      <c r="B93" s="15"/>
      <c r="C93" s="27"/>
      <c r="D93" s="104"/>
      <c r="E93" s="26">
        <f>SUM(C93*D93)</f>
        <v>0</v>
      </c>
    </row>
    <row ht="13.5" customHeight="1" r="94" spans="1:5">
      <c r="A94" s="15" t="s">
        <v>150</v>
      </c>
      <c r="B94" s="15" t="s">
        <v>151</v>
      </c>
      <c r="C94" s="27">
        <v>4.42</v>
      </c>
      <c r="D94" s="104">
        <v>3</v>
      </c>
      <c r="E94" s="26">
        <f>SUM(C94*D94)</f>
        <v>13.26</v>
      </c>
    </row>
    <row ht="13.5" customHeight="1" r="95" spans="1:5">
      <c r="A95" s="15" t="s">
        <v>152</v>
      </c>
      <c r="B95" s="15" t="s">
        <v>153</v>
      </c>
      <c r="C95" s="27">
        <v>7.96</v>
      </c>
      <c r="D95" s="104">
        <v>1</v>
      </c>
      <c r="E95" s="26">
        <f>SUM(C95*D95)</f>
        <v>7.96</v>
      </c>
    </row>
    <row ht="13.5" customHeight="1" r="96" spans="1:5">
      <c r="A96" s="15" t="s">
        <v>154</v>
      </c>
      <c r="B96" s="15" t="s">
        <v>155</v>
      </c>
      <c r="C96" s="27">
        <v>1.25</v>
      </c>
      <c r="D96" s="104">
        <v>9</v>
      </c>
      <c r="E96" s="26">
        <f>SUM(C96*D96)</f>
        <v>11.25</v>
      </c>
    </row>
    <row ht="13.5" customHeight="1" r="97" spans="1:5">
      <c r="A97" s="15" t="s">
        <v>156</v>
      </c>
      <c r="B97" s="15" t="s">
        <v>61</v>
      </c>
      <c r="C97" s="27">
        <v>11.89</v>
      </c>
      <c r="D97" s="104">
        <v>0</v>
      </c>
      <c r="E97" s="26">
        <f>SUM(C97*D97)</f>
        <v>0</v>
      </c>
    </row>
    <row ht="13.5" customHeight="1" r="98" spans="1:5">
      <c r="A98" s="15" t="s">
        <v>157</v>
      </c>
      <c r="B98" s="15" t="s">
        <v>158</v>
      </c>
      <c r="C98" s="32">
        <v>8.33</v>
      </c>
      <c r="D98" s="104">
        <v>2</v>
      </c>
      <c r="E98" s="26">
        <f>SUM(C98*D98)</f>
        <v>16.66</v>
      </c>
    </row>
    <row ht="13.5" customHeight="1" r="99" spans="1:6">
      <c r="A99" s="15" t="s">
        <v>159</v>
      </c>
      <c r="B99" s="15" t="s">
        <v>160</v>
      </c>
      <c r="C99" s="32">
        <v>6.07</v>
      </c>
      <c r="D99" s="104">
        <v>0.6</v>
      </c>
      <c r="E99" s="26">
        <f>SUM(C99*D99)</f>
        <v>3.642</v>
      </c>
    </row>
    <row ht="13.5" customHeight="1" r="100" spans="1:6">
      <c r="A100" s="15" t="s">
        <v>161</v>
      </c>
      <c r="B100" s="15" t="s">
        <v>27</v>
      </c>
      <c r="C100" s="27">
        <v>8.68</v>
      </c>
      <c r="D100" s="104"/>
      <c r="E100" s="26">
        <f>SUM(C100*D100)</f>
        <v>0</v>
      </c>
    </row>
    <row ht="13.5" customHeight="1" r="101" spans="1:6">
      <c r="A101" s="15" t="s">
        <v>162</v>
      </c>
      <c r="B101" s="15" t="s">
        <v>163</v>
      </c>
      <c r="C101" s="27">
        <v>5.05</v>
      </c>
      <c r="D101" s="104">
        <v>0</v>
      </c>
      <c r="E101" s="26">
        <f>SUM(C101*D101)</f>
        <v>0</v>
      </c>
    </row>
    <row ht="13.5" customHeight="1" r="102" spans="1:6">
      <c r="A102" s="15" t="s">
        <v>164</v>
      </c>
      <c r="B102" s="15" t="s">
        <v>165</v>
      </c>
      <c r="C102" s="27">
        <v>3.82</v>
      </c>
      <c r="D102" s="104">
        <v>1</v>
      </c>
      <c r="E102" s="26">
        <f>SUM(C102*D102)</f>
        <v>3.82</v>
      </c>
    </row>
    <row ht="13.5" customHeight="1" r="103" spans="1:6">
      <c r="A103" s="15" t="s">
        <v>166</v>
      </c>
      <c r="B103" s="15" t="s">
        <v>167</v>
      </c>
      <c r="C103" s="27">
        <v>5.28</v>
      </c>
      <c r="D103" s="104">
        <v>0.9</v>
      </c>
      <c r="E103" s="26">
        <f>SUM(C103*D103)</f>
        <v>4.752</v>
      </c>
    </row>
    <row ht="13.5" customHeight="1" r="104" spans="1:6">
      <c r="A104" s="15" t="s">
        <v>168</v>
      </c>
      <c r="B104" s="15" t="s">
        <v>169</v>
      </c>
      <c r="C104" s="27">
        <v>6.23</v>
      </c>
      <c r="D104" s="104">
        <v>2</v>
      </c>
      <c r="E104" s="26">
        <f>SUM(C104*D104)</f>
        <v>12.46</v>
      </c>
    </row>
    <row ht="13.5" customHeight="1" r="105" spans="1:6">
      <c r="A105" s="15" t="s">
        <v>170</v>
      </c>
      <c r="B105" s="15" t="s">
        <v>171</v>
      </c>
      <c r="C105" s="27">
        <v>9.81</v>
      </c>
      <c r="D105" s="104">
        <v>1.3</v>
      </c>
      <c r="E105" s="26">
        <f>SUM(C105*D105)</f>
        <v>12.753</v>
      </c>
    </row>
    <row ht="13.5" customHeight="1" r="106" spans="1:6">
      <c r="A106" s="15" t="s">
        <v>172</v>
      </c>
      <c r="B106" s="15" t="s">
        <v>173</v>
      </c>
      <c r="C106" s="27">
        <v>5.18</v>
      </c>
      <c r="D106" s="104">
        <v>0.5</v>
      </c>
      <c r="E106" s="26">
        <f>SUM(C106*D106)</f>
        <v>2.59</v>
      </c>
    </row>
    <row ht="13.5" customHeight="1" r="107" spans="1:6">
      <c r="A107" s="15" t="s">
        <v>174</v>
      </c>
      <c r="B107" s="15" t="s">
        <v>175</v>
      </c>
      <c r="C107" s="27">
        <v>17.35</v>
      </c>
      <c r="D107" s="104"/>
      <c r="E107" s="26">
        <f>SUM(C107*D107)</f>
        <v>0</v>
      </c>
    </row>
    <row ht="13.5" customHeight="1" r="108" spans="1:6">
      <c r="A108" s="15" t="s">
        <v>176</v>
      </c>
      <c r="B108" s="15">
        <v>2.27</v>
      </c>
      <c r="C108" s="27"/>
      <c r="D108" s="104">
        <v>0.5</v>
      </c>
      <c r="E108" s="26">
        <f>SUM(C108*D108)</f>
        <v>0</v>
      </c>
      <c r="F108" s="33">
        <v>1</v>
      </c>
    </row>
    <row ht="13.5" customHeight="1" r="109" spans="1:6">
      <c r="A109" s="15" t="s">
        <v>177</v>
      </c>
      <c r="B109" s="15">
        <v>2.27</v>
      </c>
      <c r="C109" s="27">
        <f>20.21/2</f>
        <v>10.105</v>
      </c>
      <c r="D109" s="104">
        <v>1</v>
      </c>
      <c r="E109" s="26">
        <f>SUM(C109*D109)</f>
        <v>10.105</v>
      </c>
    </row>
    <row ht="13.5" customHeight="1" r="110" spans="1:6">
      <c r="A110" s="15" t="s">
        <v>178</v>
      </c>
      <c r="B110" s="15">
        <v>2.27</v>
      </c>
      <c r="C110" s="27">
        <f>22.92/2</f>
        <v>11.46</v>
      </c>
      <c r="D110" s="104">
        <v>1</v>
      </c>
      <c r="E110" s="26">
        <f>SUM(C110*D110)</f>
        <v>11.46</v>
      </c>
    </row>
    <row ht="13.5" customHeight="1" r="111" spans="1:6">
      <c r="A111" s="15" t="s">
        <v>172</v>
      </c>
      <c r="B111" s="15" t="s">
        <v>179</v>
      </c>
      <c r="C111" s="27">
        <v>7.3</v>
      </c>
      <c r="D111" s="104">
        <v>0.5</v>
      </c>
      <c r="E111" s="26">
        <f>SUM(C111*D111)</f>
        <v>3.65</v>
      </c>
    </row>
    <row ht="13.5" customHeight="1" r="112" spans="1:6">
      <c r="A112" s="28" t="s">
        <v>180</v>
      </c>
      <c r="B112" s="15"/>
      <c r="C112" s="27"/>
      <c r="D112" s="104">
        <v>0</v>
      </c>
      <c r="E112" s="26">
        <f>SUM(C112*D112)</f>
        <v>0</v>
      </c>
    </row>
    <row ht="13.5" customHeight="1" r="113" spans="1:6">
      <c r="A113" s="11" t="s">
        <v>181</v>
      </c>
      <c r="B113" s="15" t="s">
        <v>182</v>
      </c>
      <c r="C113" s="27">
        <f>19.48/2</f>
        <v>9.74</v>
      </c>
      <c r="D113" s="104">
        <v>2</v>
      </c>
      <c r="E113" s="26">
        <f>C113*D113</f>
        <v>19.48</v>
      </c>
    </row>
    <row ht="13.5" customHeight="1" r="114" spans="1:6">
      <c r="A114" s="15" t="s">
        <v>183</v>
      </c>
      <c r="B114" s="15" t="s">
        <v>184</v>
      </c>
      <c r="C114" s="27">
        <v>8.81</v>
      </c>
      <c r="D114" s="104">
        <v>2</v>
      </c>
      <c r="E114" s="26">
        <f>SUM(C114*D114)</f>
        <v>17.62</v>
      </c>
    </row>
    <row ht="13.5" customHeight="1" r="115" spans="1:5">
      <c r="A115" s="15" t="s">
        <v>185</v>
      </c>
      <c r="B115" s="15" t="s">
        <v>163</v>
      </c>
      <c r="C115" s="27">
        <v>6.61</v>
      </c>
      <c r="D115" s="104">
        <v>0</v>
      </c>
      <c r="E115" s="26">
        <f>SUM(C115*D115)</f>
        <v>0</v>
      </c>
    </row>
    <row ht="13.5" customHeight="1" r="116" spans="1:5">
      <c r="A116" s="15" t="s">
        <v>186</v>
      </c>
      <c r="B116" s="15" t="s">
        <v>163</v>
      </c>
      <c r="C116" s="27">
        <v>2.98</v>
      </c>
      <c r="D116" s="104">
        <v>0</v>
      </c>
      <c r="E116" s="26">
        <f>SUM(C116*D116)</f>
        <v>0</v>
      </c>
    </row>
    <row ht="13.5" customHeight="1" r="117" spans="1:5">
      <c r="A117" s="15" t="s">
        <v>187</v>
      </c>
      <c r="B117" s="15" t="s">
        <v>29</v>
      </c>
      <c r="C117" s="27">
        <v>4.75</v>
      </c>
      <c r="D117" s="104">
        <v>0</v>
      </c>
      <c r="E117" s="26">
        <f>SUM(C117*D117)</f>
        <v>0</v>
      </c>
    </row>
    <row ht="13.5" customHeight="1" r="118" spans="1:5">
      <c r="A118" s="15" t="s">
        <v>188</v>
      </c>
      <c r="B118" s="15" t="s">
        <v>189</v>
      </c>
      <c r="C118" s="27">
        <v>4.32</v>
      </c>
      <c r="D118" s="104">
        <v>6</v>
      </c>
      <c r="E118" s="26">
        <f>SUM(C118*D118)</f>
        <v>25.92</v>
      </c>
    </row>
    <row ht="13.5" customHeight="1" r="119" spans="1:5">
      <c r="A119" s="28" t="s">
        <v>190</v>
      </c>
      <c r="B119" s="15"/>
      <c r="C119" s="27"/>
      <c r="D119" s="104"/>
      <c r="E119" s="26">
        <f>SUM(C119*D119)</f>
        <v>0</v>
      </c>
    </row>
    <row ht="13.5" customHeight="1" r="120" spans="1:5">
      <c r="A120" s="15" t="s">
        <v>191</v>
      </c>
      <c r="B120" s="15" t="s">
        <v>192</v>
      </c>
      <c r="C120" s="27">
        <v>21.55</v>
      </c>
      <c r="D120" s="104">
        <v>6</v>
      </c>
      <c r="E120" s="26">
        <f>SUM(C120*D120)</f>
        <v>129.3</v>
      </c>
    </row>
    <row ht="13.5" customHeight="1" r="121" spans="1:5">
      <c r="A121" s="15" t="s">
        <v>193</v>
      </c>
      <c r="B121" s="15" t="s">
        <v>194</v>
      </c>
      <c r="C121" s="27">
        <v>6.23</v>
      </c>
      <c r="D121" s="104">
        <v>0</v>
      </c>
      <c r="E121" s="26">
        <f>SUM(C121*D121)</f>
        <v>0</v>
      </c>
    </row>
    <row r="122">
      <c r="A122" s="0" t="s">
        <v>1005</v>
      </c>
      <c r="B122" s="0" t="s">
        <v>693</v>
      </c>
      <c r="C122" s="0">
        <v>18</v>
      </c>
      <c r="D122" s="0">
        <v>0.9</v>
      </c>
    </row>
    <row ht="13.5" customHeight="1" r="123" spans="1:5">
      <c r="A123" s="15" t="s">
        <v>195</v>
      </c>
      <c r="B123" s="15" t="s">
        <v>196</v>
      </c>
      <c r="C123" s="27">
        <v>5.78</v>
      </c>
      <c r="D123" s="104">
        <v>0.4</v>
      </c>
      <c r="E123" s="26">
        <f>SUM(C123*D123)</f>
        <v>2.312</v>
      </c>
    </row>
    <row ht="13.5" customHeight="1" r="124" spans="1:5">
      <c r="A124" s="15" t="s">
        <v>197</v>
      </c>
      <c r="B124" s="15" t="s">
        <v>198</v>
      </c>
      <c r="C124" s="27">
        <v>2.67</v>
      </c>
      <c r="D124" s="104">
        <v>2</v>
      </c>
      <c r="E124" s="26">
        <f>SUM(C124*D124)</f>
        <v>5.34</v>
      </c>
    </row>
    <row ht="13.5" customHeight="1" r="125" spans="1:5">
      <c r="A125" s="15" t="s">
        <v>199</v>
      </c>
      <c r="B125" s="15" t="s">
        <v>200</v>
      </c>
      <c r="C125" s="27">
        <v>8.96</v>
      </c>
      <c r="D125" s="104">
        <v>0</v>
      </c>
      <c r="E125" s="26">
        <f>SUM(C125*D125)</f>
        <v>0</v>
      </c>
    </row>
    <row ht="13.5" customHeight="1" r="126" spans="1:5">
      <c r="A126" s="15" t="s">
        <v>201</v>
      </c>
      <c r="B126" s="15" t="s">
        <v>202</v>
      </c>
      <c r="C126" s="27"/>
      <c r="D126" s="104">
        <v>5</v>
      </c>
      <c r="E126" s="26">
        <f>SUM(C126*D126)</f>
        <v>0</v>
      </c>
    </row>
    <row ht="13.5" customHeight="1" r="127" spans="1:5">
      <c r="A127" s="15" t="s">
        <v>203</v>
      </c>
      <c r="B127" s="15" t="s">
        <v>200</v>
      </c>
      <c r="C127" s="27">
        <v>10.18</v>
      </c>
      <c r="D127" s="104">
        <v>0.8</v>
      </c>
      <c r="E127" s="26">
        <f>SUM(C127*D127)</f>
        <v>8.144</v>
      </c>
    </row>
    <row ht="13.5" customHeight="1" r="128" spans="1:5">
      <c r="A128" s="28" t="s">
        <v>204</v>
      </c>
      <c r="B128" s="15"/>
      <c r="C128" s="27"/>
      <c r="D128" s="104"/>
      <c r="E128" s="26">
        <f>SUM(C128*D128)</f>
        <v>0</v>
      </c>
    </row>
    <row ht="13.5" customHeight="1" r="129" spans="1:5">
      <c r="A129" s="34" t="s">
        <v>205</v>
      </c>
      <c r="B129" s="15" t="s">
        <v>29</v>
      </c>
      <c r="C129" s="27">
        <v>8.48</v>
      </c>
      <c r="D129" s="104">
        <v>0</v>
      </c>
      <c r="E129" s="26">
        <f>SUM(C129*D129)</f>
        <v>0</v>
      </c>
    </row>
    <row ht="13.5" customHeight="1" r="130" spans="1:5">
      <c r="A130" s="15" t="s">
        <v>206</v>
      </c>
      <c r="B130" s="15" t="s">
        <v>29</v>
      </c>
      <c r="C130" s="27">
        <v>8.48</v>
      </c>
      <c r="D130" s="104">
        <v>2</v>
      </c>
      <c r="E130" s="26">
        <f>SUM(C130*D130)</f>
        <v>16.96</v>
      </c>
    </row>
    <row ht="13.5" customHeight="1" r="131" spans="1:5">
      <c r="A131" s="15" t="s">
        <v>207</v>
      </c>
      <c r="B131" s="15" t="s">
        <v>208</v>
      </c>
      <c r="C131" s="27">
        <v>1.8</v>
      </c>
      <c r="D131" s="104">
        <v>0</v>
      </c>
      <c r="E131" s="26">
        <f>SUM(C131*D131)</f>
        <v>0</v>
      </c>
    </row>
    <row ht="13.5" customHeight="1" r="132" spans="1:5">
      <c r="A132" s="15" t="s">
        <v>209</v>
      </c>
      <c r="B132" s="15" t="s">
        <v>210</v>
      </c>
      <c r="C132" s="27">
        <v>1.51</v>
      </c>
      <c r="D132" s="104">
        <v>0</v>
      </c>
      <c r="E132" s="26">
        <f>SUM(C132*D132)</f>
        <v>0</v>
      </c>
    </row>
    <row ht="13.5" customHeight="1" r="133" spans="1:5">
      <c r="A133" s="28" t="s">
        <v>211</v>
      </c>
      <c r="B133" s="15"/>
      <c r="C133" s="27">
        <v>10.27</v>
      </c>
      <c r="D133" s="104"/>
      <c r="E133" s="26">
        <f>SUM(C133*D133)</f>
        <v>0</v>
      </c>
    </row>
    <row ht="13.5" customHeight="1" r="134" spans="1:5">
      <c r="A134" s="15" t="s">
        <v>212</v>
      </c>
      <c r="B134" s="15" t="s">
        <v>213</v>
      </c>
      <c r="C134" s="27">
        <v>15.29</v>
      </c>
      <c r="D134" s="104">
        <v>0</v>
      </c>
      <c r="E134" s="26">
        <f>SUM(C134*D134)</f>
        <v>0</v>
      </c>
    </row>
    <row ht="13.5" customHeight="1" r="135" spans="1:5">
      <c r="A135" s="15" t="s">
        <v>214</v>
      </c>
      <c r="B135" s="15" t="s">
        <v>215</v>
      </c>
      <c r="C135" s="27">
        <v>7.91</v>
      </c>
      <c r="D135" s="104">
        <v>0</v>
      </c>
      <c r="E135" s="26">
        <f>SUM(C135*D135)</f>
        <v>0</v>
      </c>
    </row>
    <row ht="13.5" customHeight="1" r="136" spans="1:5">
      <c r="A136" s="15" t="s">
        <v>216</v>
      </c>
      <c r="B136" s="15" t="s">
        <v>213</v>
      </c>
      <c r="C136" s="27">
        <v>7.27</v>
      </c>
      <c r="D136" s="104">
        <v>0</v>
      </c>
      <c r="E136" s="26">
        <f>SUM(C136*D136)</f>
        <v>0</v>
      </c>
    </row>
    <row ht="13.5" customHeight="1" r="137" spans="1:5">
      <c r="A137" s="15" t="s">
        <v>217</v>
      </c>
      <c r="B137" s="15" t="s">
        <v>218</v>
      </c>
      <c r="C137" s="27">
        <v>9.28</v>
      </c>
      <c r="D137" s="104">
        <v>2</v>
      </c>
      <c r="E137" s="26">
        <f>SUM(C137*D137)</f>
        <v>18.56</v>
      </c>
    </row>
    <row ht="13.5" customHeight="1" r="138" spans="1:5">
      <c r="A138" s="15" t="s">
        <v>219</v>
      </c>
      <c r="B138" s="15" t="s">
        <v>218</v>
      </c>
      <c r="C138" s="27">
        <v>17.13</v>
      </c>
      <c r="D138" s="104">
        <v>0</v>
      </c>
      <c r="E138" s="26">
        <f>SUM(C138*D138)</f>
        <v>0</v>
      </c>
    </row>
    <row ht="13.5" customHeight="1" r="139" spans="1:5">
      <c r="A139" s="28" t="s">
        <v>220</v>
      </c>
      <c r="B139" s="13"/>
      <c r="C139" s="29"/>
      <c r="D139" s="104"/>
      <c r="E139" s="26">
        <f>SUM(C139*D139)</f>
        <v>0</v>
      </c>
    </row>
    <row ht="13.5" customHeight="1" r="140" spans="1:5">
      <c r="A140" s="31" t="s">
        <v>221</v>
      </c>
      <c r="B140" s="13" t="s">
        <v>222</v>
      </c>
      <c r="C140" s="29">
        <v>0.53</v>
      </c>
      <c r="D140" s="104">
        <v>0</v>
      </c>
      <c r="E140" s="26">
        <f>SUM(C140*D140)</f>
        <v>0</v>
      </c>
    </row>
    <row ht="13.5" customHeight="1" r="141" spans="1:5">
      <c r="A141" s="15" t="s">
        <v>223</v>
      </c>
      <c r="B141" s="13" t="s">
        <v>36</v>
      </c>
      <c r="C141" s="29">
        <v>30.25</v>
      </c>
      <c r="D141" s="104">
        <v>1</v>
      </c>
      <c r="E141" s="26">
        <f>SUM(C141*D141)</f>
        <v>30.25</v>
      </c>
    </row>
    <row ht="13.5" customHeight="1" r="142" spans="1:5">
      <c r="A142" s="15" t="s">
        <v>224</v>
      </c>
      <c r="B142" s="13" t="s">
        <v>225</v>
      </c>
      <c r="C142" s="29">
        <v>0.44</v>
      </c>
      <c r="D142" s="104">
        <v>0</v>
      </c>
      <c r="E142" s="26">
        <f>SUM(C142*D142)</f>
        <v>0</v>
      </c>
    </row>
    <row ht="13.5" customHeight="1" r="143" spans="1:5">
      <c r="A143" s="15" t="s">
        <v>226</v>
      </c>
      <c r="B143" s="13" t="s">
        <v>227</v>
      </c>
      <c r="C143" s="29">
        <v>6.24</v>
      </c>
      <c r="D143" s="104">
        <v>0</v>
      </c>
      <c r="E143" s="26">
        <f>SUM(C143*D143)</f>
        <v>0</v>
      </c>
    </row>
    <row ht="13.5" customHeight="1" r="144" spans="1:5">
      <c r="A144" s="15" t="s">
        <v>228</v>
      </c>
      <c r="B144" s="13" t="s">
        <v>145</v>
      </c>
      <c r="C144" s="29">
        <v>5.63</v>
      </c>
      <c r="D144" s="104">
        <v>0.3</v>
      </c>
      <c r="E144" s="26">
        <f>SUM(C144*D144)</f>
        <v>1.689</v>
      </c>
    </row>
    <row ht="13.5" customHeight="1" r="145" spans="1:5">
      <c r="A145" s="15" t="s">
        <v>229</v>
      </c>
      <c r="B145" s="13" t="s">
        <v>230</v>
      </c>
      <c r="C145" s="29">
        <v>18.73</v>
      </c>
      <c r="D145" s="104">
        <v>0</v>
      </c>
      <c r="E145" s="26">
        <f>SUM(C145*D145)</f>
        <v>0</v>
      </c>
    </row>
    <row ht="13.5" customHeight="1" r="146" spans="1:5">
      <c r="A146" s="15" t="s">
        <v>231</v>
      </c>
      <c r="B146" s="13" t="s">
        <v>93</v>
      </c>
      <c r="C146" s="29">
        <v>3.91</v>
      </c>
      <c r="D146" s="104">
        <v>2</v>
      </c>
      <c r="E146" s="26">
        <f>SUM(C146*D146)</f>
        <v>7.82</v>
      </c>
    </row>
    <row ht="13.5" customHeight="1" r="147" spans="1:5">
      <c r="A147" s="15" t="s">
        <v>232</v>
      </c>
      <c r="B147" s="13" t="s">
        <v>233</v>
      </c>
      <c r="C147" s="29">
        <v>3.82</v>
      </c>
      <c r="D147" s="104">
        <v>2</v>
      </c>
      <c r="E147" s="26">
        <f>SUM(C147*D147)</f>
        <v>7.64</v>
      </c>
    </row>
    <row ht="13.5" customHeight="1" r="148" spans="1:5">
      <c r="A148" s="15" t="s">
        <v>234</v>
      </c>
      <c r="B148" s="13" t="s">
        <v>230</v>
      </c>
      <c r="C148" s="29">
        <v>14.73</v>
      </c>
      <c r="D148" s="35">
        <v>2</v>
      </c>
      <c r="E148" s="26">
        <f>SUM(C148*D148)</f>
        <v>29.46</v>
      </c>
    </row>
    <row ht="13.5" customHeight="1" r="149" spans="1:5">
      <c r="A149" s="15" t="s">
        <v>235</v>
      </c>
      <c r="B149" s="13" t="s">
        <v>145</v>
      </c>
      <c r="C149" s="29">
        <v>2.69</v>
      </c>
      <c r="D149" s="104">
        <v>2</v>
      </c>
      <c r="E149" s="26">
        <f>SUM(C149*D149)</f>
        <v>5.38</v>
      </c>
    </row>
    <row ht="13.5" customHeight="1" r="150" spans="1:5">
      <c r="A150" s="15" t="s">
        <v>235</v>
      </c>
      <c r="B150" s="13" t="s">
        <v>236</v>
      </c>
      <c r="C150" s="29">
        <v>17.48</v>
      </c>
      <c r="D150" s="104">
        <v>1.4</v>
      </c>
      <c r="E150" s="26">
        <f>SUM(C150*D150)</f>
        <v>24.472</v>
      </c>
    </row>
    <row ht="13.5" customHeight="1" r="151" spans="1:5">
      <c r="A151" s="15" t="s">
        <v>237</v>
      </c>
      <c r="B151" s="15" t="s">
        <v>93</v>
      </c>
      <c r="C151" s="27">
        <v>3</v>
      </c>
      <c r="D151" s="104">
        <v>0</v>
      </c>
      <c r="E151" s="26">
        <f>SUM(C151*D151)</f>
        <v>0</v>
      </c>
    </row>
    <row ht="13.5" customHeight="1" r="152" spans="1:5">
      <c r="A152" s="15" t="s">
        <v>238</v>
      </c>
      <c r="B152" s="15" t="s">
        <v>239</v>
      </c>
      <c r="C152" s="27">
        <v>20.41</v>
      </c>
      <c r="D152" s="104">
        <v>0</v>
      </c>
      <c r="E152" s="26">
        <f>SUM(C152*D152)</f>
        <v>0</v>
      </c>
    </row>
    <row ht="13.5" customHeight="1" r="153" spans="1:5">
      <c r="A153" s="5" t="s">
        <v>240</v>
      </c>
      <c r="B153" s="15"/>
      <c r="C153" s="32"/>
      <c r="D153" s="24"/>
      <c r="E153" s="14">
        <f>SUM(E8:E152)</f>
        <v>877.576</v>
      </c>
    </row>
    <row ht="13.5" customHeight="1" r="154" spans="1:5">
      <c r="E154" s="36"/>
    </row>
    <row ht="12" customHeight="1" r="155" spans="1:5"/>
    <row ht="12" customHeight="1" r="156" spans="1:5"/>
    <row ht="12" customHeight="1" r="157" spans="1:5"/>
    <row ht="12" customHeight="1" r="158" spans="1:5"/>
    <row ht="12" customHeight="1" r="159" spans="1:5"/>
    <row ht="12" customHeight="1" r="160" spans="1:5"/>
    <row ht="12" customHeight="1" r="161" spans="1:5"/>
    <row ht="12" customHeight="1" r="162" spans="1:5"/>
    <row ht="12" customHeight="1" r="163" spans="1:5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2" customHeight="1" r="234"/>
    <row ht="12" customHeight="1" r="235"/>
    <row ht="12" customHeight="1" r="236"/>
    <row ht="12" customHeight="1" r="237"/>
    <row ht="12" customHeight="1" r="238"/>
    <row ht="12" customHeight="1" r="239"/>
    <row ht="12" customHeight="1" r="240"/>
    <row ht="12" customHeight="1" r="241"/>
    <row ht="12" customHeight="1" r="242"/>
    <row ht="12" customHeight="1" r="243"/>
    <row ht="12" customHeight="1" r="244"/>
    <row ht="12" customHeight="1" r="245"/>
    <row ht="12" customHeight="1" r="246"/>
    <row ht="12" customHeight="1" r="247"/>
    <row ht="12" customHeight="1" r="248"/>
    <row ht="12" customHeight="1" r="249"/>
    <row ht="12" customHeight="1" r="250"/>
    <row ht="12" customHeight="1" r="251"/>
    <row ht="12" customHeight="1" r="252"/>
    <row ht="12" customHeight="1" r="253"/>
    <row ht="12" customHeight="1" r="254"/>
    <row ht="12" customHeight="1" r="255"/>
    <row ht="12" customHeight="1" r="256"/>
    <row ht="12" customHeight="1" r="257"/>
    <row ht="12" customHeight="1" r="258"/>
    <row ht="12" customHeight="1" r="259"/>
    <row ht="12" customHeight="1" r="260"/>
    <row ht="12" customHeight="1" r="261"/>
    <row ht="12" customHeight="1" r="262"/>
    <row ht="12" customHeight="1" r="263"/>
    <row ht="12" customHeight="1" r="264"/>
    <row ht="12" customHeight="1" r="265"/>
    <row ht="12" customHeight="1" r="266"/>
    <row ht="12" customHeight="1" r="267"/>
    <row ht="12" customHeight="1" r="268"/>
    <row ht="12" customHeight="1" r="269"/>
    <row ht="12" customHeight="1" r="270"/>
    <row ht="12" customHeight="1" r="271"/>
    <row ht="12" customHeight="1" r="272"/>
    <row ht="12" customHeight="1" r="273"/>
    <row ht="12" customHeight="1" r="274"/>
    <row ht="12" customHeight="1" r="275"/>
    <row ht="12" customHeight="1" r="276"/>
    <row ht="12" customHeight="1" r="277"/>
    <row ht="12" customHeight="1" r="278"/>
    <row ht="12" customHeight="1" r="279"/>
    <row ht="12" customHeight="1" r="280"/>
    <row ht="12" customHeight="1" r="281"/>
    <row ht="12" customHeight="1" r="282"/>
    <row ht="12" customHeight="1" r="283"/>
    <row ht="12" customHeight="1" r="284"/>
    <row ht="12" customHeight="1" r="285"/>
    <row ht="12" customHeight="1" r="286"/>
    <row ht="12" customHeight="1" r="287"/>
    <row ht="12" customHeight="1" r="288"/>
    <row ht="12" customHeight="1" r="289"/>
    <row ht="12" customHeight="1" r="290"/>
    <row ht="12" customHeight="1" r="291"/>
    <row ht="12" customHeight="1" r="292"/>
    <row ht="12" customHeight="1" r="293"/>
    <row ht="12" customHeight="1" r="294"/>
    <row ht="12" customHeight="1" r="295"/>
    <row ht="12" customHeight="1" r="296"/>
    <row ht="12" customHeight="1" r="297"/>
    <row ht="12" customHeight="1" r="298"/>
    <row ht="12" customHeight="1" r="299"/>
    <row ht="12" customHeight="1" r="300"/>
    <row ht="12" customHeight="1" r="301"/>
    <row ht="12" customHeight="1" r="302"/>
    <row ht="12" customHeight="1" r="303"/>
    <row ht="12" customHeight="1" r="304"/>
    <row ht="12" customHeight="1" r="305"/>
    <row ht="12" customHeight="1" r="306"/>
    <row ht="12" customHeight="1" r="307"/>
    <row ht="12" customHeight="1" r="308"/>
    <row ht="12" customHeight="1" r="309"/>
    <row ht="12" customHeight="1" r="310"/>
    <row ht="12" customHeight="1" r="311"/>
    <row ht="12" customHeight="1" r="312"/>
    <row ht="12" customHeight="1" r="313"/>
    <row ht="12" customHeight="1" r="314"/>
    <row ht="12" customHeight="1" r="315"/>
    <row ht="12" customHeight="1" r="316"/>
    <row ht="12" customHeight="1" r="317"/>
    <row ht="12" customHeight="1" r="318"/>
    <row ht="12" customHeight="1" r="319"/>
    <row ht="12" customHeight="1" r="320"/>
    <row ht="12" customHeight="1" r="321"/>
    <row ht="12" customHeight="1" r="322"/>
    <row ht="12" customHeight="1" r="323"/>
    <row ht="12" customHeight="1" r="324"/>
    <row ht="12" customHeight="1" r="325"/>
    <row ht="12" customHeight="1" r="326"/>
    <row ht="12" customHeight="1" r="327"/>
    <row ht="12" customHeight="1" r="328"/>
    <row ht="12" customHeight="1" r="329"/>
    <row ht="12" customHeight="1" r="330"/>
    <row ht="12" customHeight="1" r="331"/>
    <row ht="12" customHeight="1" r="332"/>
    <row ht="12" customHeight="1" r="333"/>
    <row ht="12" customHeight="1" r="334"/>
    <row ht="12" customHeight="1" r="335"/>
    <row ht="12" customHeight="1" r="336"/>
    <row ht="12" customHeight="1" r="337"/>
    <row ht="12" customHeight="1" r="338"/>
    <row ht="12" customHeight="1" r="339"/>
    <row ht="12" customHeight="1" r="340"/>
    <row ht="12" customHeight="1" r="341"/>
    <row ht="12" customHeight="1" r="342"/>
    <row ht="12" customHeight="1" r="343"/>
    <row ht="12" customHeight="1" r="344"/>
    <row ht="12" customHeight="1" r="345"/>
    <row ht="12" customHeight="1" r="346"/>
    <row ht="12" customHeight="1" r="347"/>
    <row ht="12" customHeight="1" r="348"/>
    <row ht="12" customHeight="1" r="349"/>
    <row ht="12" customHeight="1" r="350"/>
    <row ht="12" customHeight="1" r="351"/>
    <row ht="12" customHeight="1" r="352"/>
    <row ht="12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  <row ht="15.75" customHeight="1" r="1001"/>
    <row ht="15.75" customHeight="1" r="1002"/>
    <row ht="15.75" customHeight="1" r="1003"/>
    <row ht="15.75" customHeight="1" r="1004"/>
    <row ht="15.75" customHeight="1" r="1005"/>
  </sheetData>
  <pageMargins left="0.49013888888888901" right="0.35" top="1.141805555555556" bottom="1.3570833333333301" header="0" footer="0"/>
  <pageSetup orientation="portrait"/>
  <headerFooter>
    <oddFooter>&amp;L&amp;A&amp;R&amp;D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>
      <selection pane="topLeft" activeCell="D69" sqref="D69"/>
    </sheetView>
  </sheetViews>
  <sheetFormatPr baseColWidth="8" defaultColWidth="12.625" defaultRowHeight="15"/>
  <cols>
    <col min="1" max="1" width="32.125" customWidth="1"/>
    <col min="2" max="2" width="9.875" customWidth="1"/>
    <col min="3" max="3" width="11.75" customWidth="1"/>
    <col min="4" max="4" width="8" customWidth="1"/>
    <col min="5" max="5" width="11.75" customWidth="1"/>
    <col min="6" max="6" width="8.5" customWidth="1"/>
  </cols>
  <sheetData>
    <row ht="21" customHeight="1" r="1" spans="1:5">
      <c r="A1" s="1" t="s">
        <v>0</v>
      </c>
      <c r="B1" s="6"/>
      <c r="C1" s="6"/>
      <c r="D1" s="20"/>
      <c r="E1" s="21"/>
    </row>
    <row ht="13.5" customHeight="1" r="2" spans="1:5">
      <c r="A2" s="9"/>
      <c r="B2" s="6"/>
      <c r="C2" s="6"/>
      <c r="D2" s="20"/>
      <c r="E2" s="21"/>
    </row>
    <row ht="13.5" customHeight="1" r="3" spans="1:5">
      <c r="A3" s="22" t="s">
        <v>241</v>
      </c>
      <c r="B3" s="6"/>
      <c r="C3" s="6"/>
      <c r="D3" s="20"/>
      <c r="E3" s="21"/>
    </row>
    <row ht="13.5" customHeight="1" r="4" spans="1:5">
      <c r="A4" s="23" t="s">
        <v>19</v>
      </c>
      <c r="B4" s="23" t="s">
        <v>20</v>
      </c>
      <c r="C4" s="23" t="s">
        <v>21</v>
      </c>
      <c r="D4" s="37" t="s">
        <v>22</v>
      </c>
      <c r="E4" s="38" t="s">
        <v>23</v>
      </c>
    </row>
    <row ht="13.5" customHeight="1" r="5" spans="1:5">
      <c r="A5" s="15" t="s">
        <v>242</v>
      </c>
      <c r="B5" s="15" t="s">
        <v>243</v>
      </c>
      <c r="C5" s="30">
        <v>3.09</v>
      </c>
      <c r="D5" s="104">
        <v>0.6</v>
      </c>
      <c r="E5" s="107">
        <f>C5*D5</f>
        <v>1.854</v>
      </c>
    </row>
    <row ht="13.5" customHeight="1" r="6" spans="1:5">
      <c r="A6" s="15" t="s">
        <v>244</v>
      </c>
      <c r="B6" s="15" t="s">
        <v>145</v>
      </c>
      <c r="C6" s="30">
        <v>8.18</v>
      </c>
      <c r="D6" s="104">
        <v>0</v>
      </c>
      <c r="E6" s="107">
        <f>C6*D6</f>
        <v>0</v>
      </c>
    </row>
    <row ht="13.5" customHeight="1" r="7" spans="1:5">
      <c r="A7" s="15" t="s">
        <v>245</v>
      </c>
      <c r="B7" s="15" t="s">
        <v>246</v>
      </c>
      <c r="C7" s="30">
        <v>0.68</v>
      </c>
      <c r="D7" s="104">
        <v>12</v>
      </c>
      <c r="E7" s="107">
        <f>C7*D7</f>
        <v>8.16</v>
      </c>
    </row>
    <row ht="13.5" customHeight="1" r="8" spans="1:5">
      <c r="A8" s="15" t="s">
        <v>247</v>
      </c>
      <c r="B8" s="15"/>
      <c r="C8" s="30"/>
      <c r="D8" s="104"/>
      <c r="E8" s="107">
        <f>C8*D8</f>
        <v>0</v>
      </c>
    </row>
    <row ht="13.5" customHeight="1" r="9" spans="1:5">
      <c r="A9" s="28" t="s">
        <v>248</v>
      </c>
      <c r="B9" s="15"/>
      <c r="C9" s="30"/>
      <c r="D9" s="104"/>
      <c r="E9" s="107">
        <f>C9*D9</f>
        <v>0</v>
      </c>
    </row>
    <row ht="13.5" customHeight="1" r="10" spans="1:5">
      <c r="A10" s="15" t="s">
        <v>249</v>
      </c>
      <c r="B10" s="15" t="s">
        <v>29</v>
      </c>
      <c r="C10" s="30">
        <v>4.52</v>
      </c>
      <c r="D10" s="104"/>
      <c r="E10" s="107">
        <f>C10*D10</f>
        <v>0</v>
      </c>
    </row>
    <row ht="13.5" customHeight="1" r="11" spans="1:5">
      <c r="A11" s="15" t="s">
        <v>250</v>
      </c>
      <c r="B11" s="15" t="s">
        <v>215</v>
      </c>
      <c r="C11" s="30">
        <v>10.33</v>
      </c>
      <c r="D11" s="104">
        <v>1</v>
      </c>
      <c r="E11" s="107">
        <f>C11*D11</f>
        <v>10.33</v>
      </c>
    </row>
    <row ht="13.5" customHeight="1" r="12" spans="1:5">
      <c r="A12" s="15" t="s">
        <v>251</v>
      </c>
      <c r="B12" s="15" t="s">
        <v>29</v>
      </c>
      <c r="C12" s="30">
        <v>10.23</v>
      </c>
      <c r="D12" s="104">
        <v>0</v>
      </c>
      <c r="E12" s="107">
        <f>C12*D12</f>
        <v>0</v>
      </c>
    </row>
    <row ht="13.5" customHeight="1" r="13" spans="1:5">
      <c r="A13" s="15" t="s">
        <v>252</v>
      </c>
      <c r="B13" s="15" t="s">
        <v>27</v>
      </c>
      <c r="C13" s="30">
        <v>17.81</v>
      </c>
      <c r="D13" s="104">
        <v>1</v>
      </c>
      <c r="E13" s="107">
        <f>C13*D13</f>
        <v>17.81</v>
      </c>
    </row>
    <row ht="13.5" customHeight="1" r="14" spans="1:5">
      <c r="A14" s="15" t="s">
        <v>253</v>
      </c>
      <c r="B14" s="15" t="s">
        <v>77</v>
      </c>
      <c r="C14" s="30">
        <v>22.4</v>
      </c>
      <c r="D14" s="104">
        <v>0</v>
      </c>
      <c r="E14" s="107">
        <f>C14*D14</f>
        <v>0</v>
      </c>
    </row>
    <row ht="13.5" customHeight="1" r="15" spans="1:5">
      <c r="A15" s="15" t="s">
        <v>254</v>
      </c>
      <c r="B15" s="15" t="s">
        <v>27</v>
      </c>
      <c r="C15" s="30"/>
      <c r="D15" s="104">
        <v>0</v>
      </c>
      <c r="E15" s="107">
        <f>C15*D15</f>
        <v>0</v>
      </c>
    </row>
    <row ht="13.5" customHeight="1" r="16" spans="1:5">
      <c r="A16" s="15" t="s">
        <v>255</v>
      </c>
      <c r="B16" s="15" t="s">
        <v>27</v>
      </c>
      <c r="C16" s="30">
        <v>14.23</v>
      </c>
      <c r="D16" s="104">
        <v>0</v>
      </c>
      <c r="E16" s="107">
        <f>C16*D16</f>
        <v>0</v>
      </c>
    </row>
    <row ht="13.5" customHeight="1" r="17" spans="1:5">
      <c r="A17" s="15" t="s">
        <v>256</v>
      </c>
      <c r="B17" s="15" t="s">
        <v>27</v>
      </c>
      <c r="C17" s="30">
        <v>7.59</v>
      </c>
      <c r="D17" s="104">
        <v>3</v>
      </c>
      <c r="E17" s="107">
        <f>C17*D17</f>
        <v>22.77</v>
      </c>
    </row>
    <row ht="13.5" customHeight="1" r="18" spans="1:5">
      <c r="A18" s="28" t="s">
        <v>257</v>
      </c>
      <c r="B18" s="15"/>
      <c r="C18" s="30"/>
      <c r="D18" s="104"/>
      <c r="E18" s="107">
        <f>C18*D18</f>
        <v>0</v>
      </c>
    </row>
    <row ht="13.5" customHeight="1" r="19" spans="1:5">
      <c r="A19" s="15" t="s">
        <v>258</v>
      </c>
      <c r="B19" s="15" t="s">
        <v>259</v>
      </c>
      <c r="C19" s="30">
        <v>4.44</v>
      </c>
      <c r="D19" s="104">
        <v>0</v>
      </c>
      <c r="E19" s="107">
        <f>C19*D19</f>
        <v>0</v>
      </c>
    </row>
    <row ht="13.5" customHeight="1" r="20" spans="1:5">
      <c r="A20" s="15" t="s">
        <v>260</v>
      </c>
      <c r="B20" s="15" t="s">
        <v>259</v>
      </c>
      <c r="C20" s="30">
        <v>7.22</v>
      </c>
      <c r="D20" s="104">
        <v>0.6</v>
      </c>
      <c r="E20" s="107">
        <f>C20*D20</f>
        <v>4.332</v>
      </c>
    </row>
    <row ht="13.5" customHeight="1" r="21" spans="1:5">
      <c r="A21" s="15" t="s">
        <v>261</v>
      </c>
      <c r="B21" s="15" t="s">
        <v>262</v>
      </c>
      <c r="C21" s="30">
        <v>32.5</v>
      </c>
      <c r="D21" s="104">
        <v>0.5</v>
      </c>
      <c r="E21" s="107">
        <f>C21*D21</f>
        <v>16.25</v>
      </c>
    </row>
    <row ht="13.5" customHeight="1" r="22" spans="1:5">
      <c r="A22" s="15" t="s">
        <v>263</v>
      </c>
      <c r="B22" s="15" t="s">
        <v>264</v>
      </c>
      <c r="C22" s="30">
        <v>10.82</v>
      </c>
      <c r="D22" s="104">
        <v>1.4</v>
      </c>
      <c r="E22" s="107">
        <f>C22*D22</f>
        <v>15.148</v>
      </c>
    </row>
    <row ht="13.5" customHeight="1" r="23" spans="1:5">
      <c r="A23" s="15" t="s">
        <v>265</v>
      </c>
      <c r="B23" s="15" t="s">
        <v>34</v>
      </c>
      <c r="C23" s="30"/>
      <c r="D23" s="104">
        <v>0</v>
      </c>
      <c r="E23" s="107">
        <f>C23*D23</f>
        <v>0</v>
      </c>
    </row>
    <row ht="13.5" customHeight="1" r="24" spans="1:5">
      <c r="A24" s="15" t="s">
        <v>266</v>
      </c>
      <c r="B24" s="15" t="s">
        <v>264</v>
      </c>
      <c r="C24" s="30">
        <v>10.95</v>
      </c>
      <c r="D24" s="104">
        <v>0.9</v>
      </c>
      <c r="E24" s="107">
        <f>C24*D24</f>
        <v>9.855</v>
      </c>
    </row>
    <row ht="13.5" customHeight="1" r="25" spans="1:5">
      <c r="A25" s="15" t="s">
        <v>267</v>
      </c>
      <c r="B25" s="15" t="s">
        <v>34</v>
      </c>
      <c r="C25" s="30">
        <v>1.29</v>
      </c>
      <c r="D25" s="104">
        <v>4</v>
      </c>
      <c r="E25" s="107">
        <f>C25*D25</f>
        <v>5.16</v>
      </c>
    </row>
    <row ht="13.5" customHeight="1" r="26" spans="1:5">
      <c r="A26" s="15" t="s">
        <v>268</v>
      </c>
      <c r="B26" s="15" t="s">
        <v>259</v>
      </c>
      <c r="C26" s="30">
        <v>3.67</v>
      </c>
      <c r="D26" s="104">
        <v>0</v>
      </c>
      <c r="E26" s="107">
        <f>C26*D26</f>
        <v>0</v>
      </c>
    </row>
    <row ht="13.5" customHeight="1" r="27" spans="1:5">
      <c r="A27" s="15" t="s">
        <v>269</v>
      </c>
      <c r="B27" s="15" t="s">
        <v>259</v>
      </c>
      <c r="C27" s="30">
        <v>14.69</v>
      </c>
      <c r="D27" s="104">
        <v>0</v>
      </c>
      <c r="E27" s="107">
        <f>C27*D27</f>
        <v>0</v>
      </c>
    </row>
    <row ht="13.5" customHeight="1" r="28" spans="1:5">
      <c r="A28" s="15" t="s">
        <v>270</v>
      </c>
      <c r="B28" s="15" t="s">
        <v>259</v>
      </c>
      <c r="C28" s="30">
        <v>7.49</v>
      </c>
      <c r="D28" s="104">
        <v>0</v>
      </c>
      <c r="E28" s="107">
        <f>C28*D28</f>
        <v>0</v>
      </c>
    </row>
    <row ht="13.5" customHeight="1" r="29" spans="1:5">
      <c r="A29" s="15" t="s">
        <v>271</v>
      </c>
      <c r="B29" s="15" t="s">
        <v>259</v>
      </c>
      <c r="C29" s="30">
        <v>6.25</v>
      </c>
      <c r="D29" s="104">
        <v>0</v>
      </c>
      <c r="E29" s="107">
        <f>C29*D29</f>
        <v>0</v>
      </c>
    </row>
    <row ht="13.5" customHeight="1" r="30" spans="1:5">
      <c r="A30" s="15" t="s">
        <v>272</v>
      </c>
      <c r="B30" s="15" t="s">
        <v>259</v>
      </c>
      <c r="C30" s="30">
        <v>26.2</v>
      </c>
      <c r="D30" s="104"/>
      <c r="E30" s="107">
        <f>C30*D30</f>
        <v>0</v>
      </c>
    </row>
    <row ht="13.5" customHeight="1" r="31" spans="1:5">
      <c r="A31" s="15" t="s">
        <v>273</v>
      </c>
      <c r="B31" s="15" t="s">
        <v>259</v>
      </c>
      <c r="C31" s="30">
        <v>30.73</v>
      </c>
      <c r="D31" s="104">
        <v>2</v>
      </c>
      <c r="E31" s="107">
        <f>C31*D31</f>
        <v>61.46</v>
      </c>
    </row>
    <row ht="13.5" customHeight="1" r="32" spans="1:5">
      <c r="A32" s="28" t="s">
        <v>274</v>
      </c>
      <c r="B32" s="15"/>
      <c r="C32" s="30"/>
      <c r="D32" s="104"/>
      <c r="E32" s="107">
        <f>C32*D32</f>
        <v>0</v>
      </c>
    </row>
    <row ht="13.5" customHeight="1" r="33" spans="1:5">
      <c r="A33" s="15" t="s">
        <v>275</v>
      </c>
      <c r="B33" s="15" t="s">
        <v>276</v>
      </c>
      <c r="C33" s="30">
        <v>34.23</v>
      </c>
      <c r="D33" s="104">
        <v>0.8</v>
      </c>
      <c r="E33" s="107">
        <f>C33*D33</f>
        <v>27.384</v>
      </c>
    </row>
    <row ht="13.5" customHeight="1" r="34" spans="1:5">
      <c r="A34" s="15" t="s">
        <v>277</v>
      </c>
      <c r="B34" s="15" t="s">
        <v>27</v>
      </c>
      <c r="C34" s="30">
        <v>6.95</v>
      </c>
      <c r="D34" s="104">
        <v>3</v>
      </c>
      <c r="E34" s="107">
        <f>C34*D34</f>
        <v>20.85</v>
      </c>
    </row>
    <row ht="13.5" customHeight="1" r="35" spans="1:5">
      <c r="A35" s="15" t="s">
        <v>278</v>
      </c>
      <c r="B35" s="15" t="s">
        <v>145</v>
      </c>
      <c r="C35" s="30">
        <v>2.74</v>
      </c>
      <c r="D35" s="104"/>
      <c r="E35" s="107">
        <f>C35*D35</f>
        <v>0</v>
      </c>
    </row>
    <row ht="13.5" customHeight="1" r="36" spans="1:5">
      <c r="A36" s="15" t="s">
        <v>279</v>
      </c>
      <c r="B36" s="15" t="s">
        <v>36</v>
      </c>
      <c r="C36" s="30">
        <v>1.34</v>
      </c>
      <c r="D36" s="104">
        <v>2</v>
      </c>
      <c r="E36" s="107">
        <f>C36*D36</f>
        <v>2.68</v>
      </c>
    </row>
    <row ht="13.5" customHeight="1" r="37" spans="1:5">
      <c r="A37" s="15" t="s">
        <v>280</v>
      </c>
      <c r="B37" s="15" t="s">
        <v>27</v>
      </c>
      <c r="C37" s="30">
        <v>7.4</v>
      </c>
      <c r="D37" s="104">
        <v>1</v>
      </c>
      <c r="E37" s="107">
        <f>C37*D37</f>
        <v>7.4</v>
      </c>
    </row>
    <row ht="13.5" customHeight="1" r="38" spans="1:5">
      <c r="A38" s="15" t="s">
        <v>281</v>
      </c>
      <c r="B38" s="15" t="s">
        <v>27</v>
      </c>
      <c r="C38" s="30">
        <v>10.54</v>
      </c>
      <c r="D38" s="104">
        <v>0</v>
      </c>
      <c r="E38" s="107">
        <f>C38*D38</f>
        <v>0</v>
      </c>
    </row>
    <row ht="13.5" customHeight="1" r="39" spans="1:5">
      <c r="A39" s="15" t="s">
        <v>282</v>
      </c>
      <c r="B39" s="15" t="s">
        <v>120</v>
      </c>
      <c r="C39" s="30">
        <v>7.39</v>
      </c>
      <c r="D39" s="104">
        <v>0</v>
      </c>
      <c r="E39" s="107">
        <f>C39*D39</f>
        <v>0</v>
      </c>
    </row>
    <row ht="13.5" customHeight="1" r="40" spans="1:5">
      <c r="A40" s="15" t="s">
        <v>283</v>
      </c>
      <c r="B40" s="15" t="s">
        <v>284</v>
      </c>
      <c r="C40" s="30">
        <v>14.57</v>
      </c>
      <c r="D40" s="104">
        <v>1</v>
      </c>
      <c r="E40" s="107">
        <f>C40*D40</f>
        <v>14.57</v>
      </c>
    </row>
    <row ht="13.5" customHeight="1" r="41" spans="1:5">
      <c r="A41" s="15" t="s">
        <v>285</v>
      </c>
      <c r="B41" s="15" t="s">
        <v>286</v>
      </c>
      <c r="C41" s="30">
        <v>1.81</v>
      </c>
      <c r="D41" s="104">
        <v>4</v>
      </c>
      <c r="E41" s="107">
        <f>C41*D41</f>
        <v>7.24</v>
      </c>
    </row>
    <row ht="13.5" customHeight="1" r="42" spans="1:5">
      <c r="A42" s="15" t="s">
        <v>287</v>
      </c>
      <c r="B42" s="15" t="s">
        <v>288</v>
      </c>
      <c r="C42" s="30">
        <v>6.72</v>
      </c>
      <c r="D42" s="104">
        <v>53</v>
      </c>
      <c r="E42" s="107">
        <f>C42*D42</f>
        <v>356.16</v>
      </c>
    </row>
    <row ht="13.5" customHeight="1" r="43" spans="1:5">
      <c r="A43" s="28" t="s">
        <v>289</v>
      </c>
      <c r="B43" s="15"/>
      <c r="C43" s="30"/>
      <c r="D43" s="104"/>
      <c r="E43" s="107">
        <f>C43*D43</f>
        <v>0</v>
      </c>
    </row>
    <row ht="13.5" customHeight="1" r="44" spans="1:5">
      <c r="A44" s="15" t="s">
        <v>290</v>
      </c>
      <c r="B44" s="15" t="s">
        <v>36</v>
      </c>
      <c r="C44" s="30">
        <v>3.85</v>
      </c>
      <c r="D44" s="104">
        <v>2</v>
      </c>
      <c r="E44" s="107">
        <f>C44*D44</f>
        <v>7.7</v>
      </c>
    </row>
    <row ht="13.5" customHeight="1" r="45" spans="1:5">
      <c r="A45" s="15" t="s">
        <v>291</v>
      </c>
      <c r="B45" s="15" t="s">
        <v>36</v>
      </c>
      <c r="C45" s="30">
        <v>1.79</v>
      </c>
      <c r="D45" s="104">
        <v>3</v>
      </c>
      <c r="E45" s="107">
        <f>C45*D45</f>
        <v>5.37</v>
      </c>
    </row>
    <row ht="13.5" customHeight="1" r="46" spans="1:5">
      <c r="A46" s="15" t="s">
        <v>292</v>
      </c>
      <c r="B46" s="15" t="s">
        <v>29</v>
      </c>
      <c r="C46" s="30">
        <v>26.52</v>
      </c>
      <c r="D46" s="104">
        <v>0</v>
      </c>
      <c r="E46" s="107">
        <f>C46*D46</f>
        <v>0</v>
      </c>
    </row>
    <row ht="13.5" customHeight="1" r="47" spans="1:5">
      <c r="A47" s="28" t="s">
        <v>293</v>
      </c>
      <c r="B47" s="15"/>
      <c r="C47" s="30"/>
      <c r="D47" s="104"/>
      <c r="E47" s="107">
        <f>C47*D47</f>
        <v>0</v>
      </c>
    </row>
    <row ht="13.5" customHeight="1" r="48" spans="1:5">
      <c r="A48" s="15" t="s">
        <v>294</v>
      </c>
      <c r="B48" s="15" t="s">
        <v>61</v>
      </c>
      <c r="C48" s="30">
        <v>10.12</v>
      </c>
      <c r="D48" s="104">
        <v>0</v>
      </c>
      <c r="E48" s="107">
        <f>C48*D48</f>
        <v>0</v>
      </c>
    </row>
    <row ht="13.5" customHeight="1" r="49" spans="1:5">
      <c r="A49" s="15" t="s">
        <v>295</v>
      </c>
      <c r="B49" s="15" t="s">
        <v>296</v>
      </c>
      <c r="C49" s="30">
        <v>25.98</v>
      </c>
      <c r="D49" s="104">
        <v>0.4</v>
      </c>
      <c r="E49" s="107">
        <f>C49*D49</f>
        <v>10.392</v>
      </c>
    </row>
    <row ht="13.5" customHeight="1" r="50" spans="1:5">
      <c r="A50" s="102" t="s">
        <v>297</v>
      </c>
      <c r="B50" s="102" t="s">
        <v>298</v>
      </c>
      <c r="C50" s="108">
        <v>25.5</v>
      </c>
      <c r="D50" s="104"/>
      <c r="E50" s="107">
        <f>C50*D50</f>
        <v>0</v>
      </c>
    </row>
    <row ht="13.5" customHeight="1" r="51" spans="1:5">
      <c r="A51" s="15" t="s">
        <v>299</v>
      </c>
      <c r="B51" s="15" t="s">
        <v>300</v>
      </c>
      <c r="C51" s="30">
        <v>1.06</v>
      </c>
      <c r="D51" s="104">
        <v>0</v>
      </c>
      <c r="E51" s="107">
        <f>C51*D51</f>
        <v>0</v>
      </c>
    </row>
    <row ht="13.5" customHeight="1" r="52" spans="1:5">
      <c r="A52" s="15" t="s">
        <v>301</v>
      </c>
      <c r="B52" s="15" t="s">
        <v>300</v>
      </c>
      <c r="C52" s="30">
        <v>3.35</v>
      </c>
      <c r="D52" s="104">
        <v>3</v>
      </c>
      <c r="E52" s="107">
        <f>C52*D52</f>
        <v>10.05</v>
      </c>
    </row>
    <row ht="13.5" customHeight="1" r="53" spans="1:5">
      <c r="A53" s="28" t="s">
        <v>302</v>
      </c>
      <c r="B53" s="15"/>
      <c r="C53" s="30"/>
      <c r="D53" s="104"/>
      <c r="E53" s="107">
        <f>C53*D53</f>
        <v>0</v>
      </c>
    </row>
    <row ht="13.5" customHeight="1" r="54" spans="1:5">
      <c r="A54" s="15" t="s">
        <v>303</v>
      </c>
      <c r="B54" s="15" t="s">
        <v>304</v>
      </c>
      <c r="C54" s="30">
        <v>9.69</v>
      </c>
      <c r="D54" s="104">
        <v>0</v>
      </c>
      <c r="E54" s="107">
        <f>C54*D54</f>
        <v>0</v>
      </c>
    </row>
    <row ht="13.5" customHeight="1" r="55" spans="1:5">
      <c r="A55" s="15" t="s">
        <v>305</v>
      </c>
      <c r="B55" s="15" t="s">
        <v>306</v>
      </c>
      <c r="C55" s="30">
        <v>7.49</v>
      </c>
      <c r="D55" s="104"/>
      <c r="E55" s="107">
        <f>C55*D55</f>
        <v>0</v>
      </c>
    </row>
    <row ht="13.5" customHeight="1" r="56" spans="1:5">
      <c r="A56" s="15" t="s">
        <v>307</v>
      </c>
      <c r="B56" s="15"/>
      <c r="C56" s="30"/>
      <c r="D56" s="104">
        <v>0</v>
      </c>
      <c r="E56" s="107">
        <f>C56*D56</f>
        <v>0</v>
      </c>
    </row>
    <row ht="13.5" customHeight="1" r="57" spans="1:5">
      <c r="A57" s="15" t="s">
        <v>308</v>
      </c>
      <c r="B57" s="15" t="s">
        <v>215</v>
      </c>
      <c r="C57" s="30">
        <v>1.4</v>
      </c>
      <c r="D57" s="104">
        <v>0</v>
      </c>
      <c r="E57" s="107">
        <f>C57*D57</f>
        <v>0</v>
      </c>
    </row>
    <row ht="13.5" customHeight="1" r="58" spans="1:5">
      <c r="A58" s="15" t="s">
        <v>309</v>
      </c>
      <c r="B58" s="15" t="s">
        <v>163</v>
      </c>
      <c r="C58" s="30">
        <v>4.58</v>
      </c>
      <c r="D58" s="104">
        <v>0</v>
      </c>
      <c r="E58" s="107">
        <f>C58*D58</f>
        <v>0</v>
      </c>
    </row>
    <row ht="13.5" customHeight="1" r="59" spans="1:5">
      <c r="A59" s="15" t="s">
        <v>310</v>
      </c>
      <c r="B59" s="15" t="s">
        <v>311</v>
      </c>
      <c r="C59" s="30">
        <v>12.43</v>
      </c>
      <c r="D59" s="104">
        <v>0</v>
      </c>
      <c r="E59" s="107">
        <f>C59*D59</f>
        <v>0</v>
      </c>
    </row>
    <row ht="13.5" customHeight="1" r="60" spans="1:5">
      <c r="A60" s="15" t="s">
        <v>312</v>
      </c>
      <c r="B60" s="15" t="s">
        <v>313</v>
      </c>
      <c r="C60" s="39">
        <v>10.5</v>
      </c>
      <c r="D60" s="104">
        <v>3</v>
      </c>
      <c r="E60" s="107">
        <f>C60*D60</f>
        <v>31.5</v>
      </c>
    </row>
    <row ht="13.5" customHeight="1" r="61" spans="1:5">
      <c r="A61" s="40" t="s">
        <v>314</v>
      </c>
      <c r="B61" s="15">
        <v>135</v>
      </c>
      <c r="C61" s="30">
        <v>45.97</v>
      </c>
      <c r="D61" s="104">
        <v>0</v>
      </c>
      <c r="E61" s="107">
        <f>C61*D61</f>
        <v>0</v>
      </c>
    </row>
    <row ht="13.5" customHeight="1" r="62" spans="1:5">
      <c r="A62" s="15" t="s">
        <v>315</v>
      </c>
      <c r="B62" s="15" t="s">
        <v>316</v>
      </c>
      <c r="C62" s="30"/>
      <c r="D62" s="104">
        <v>0.4</v>
      </c>
      <c r="E62" s="107">
        <f>C62*D62</f>
        <v>0</v>
      </c>
    </row>
    <row ht="13.5" customHeight="1" r="63" spans="1:5">
      <c r="A63" s="15" t="s">
        <v>317</v>
      </c>
      <c r="B63" s="15" t="s">
        <v>318</v>
      </c>
      <c r="C63" s="30"/>
      <c r="D63" s="104">
        <v>0.8</v>
      </c>
      <c r="E63" s="107"/>
    </row>
    <row ht="13.5" customHeight="1" r="64" spans="1:5">
      <c r="A64" s="15" t="s">
        <v>319</v>
      </c>
      <c r="B64" s="15" t="s">
        <v>320</v>
      </c>
      <c r="C64" s="30">
        <v>11.84</v>
      </c>
      <c r="D64" s="104">
        <v>0</v>
      </c>
      <c r="E64" s="107">
        <f>C64*D64</f>
        <v>0</v>
      </c>
    </row>
    <row ht="13.5" customHeight="1" r="65" spans="1:5">
      <c r="A65" s="15" t="s">
        <v>321</v>
      </c>
      <c r="B65" s="15" t="s">
        <v>29</v>
      </c>
      <c r="C65" s="30">
        <v>11.58</v>
      </c>
      <c r="D65" s="104">
        <v>0</v>
      </c>
      <c r="E65" s="107">
        <f>C65*D65</f>
        <v>0</v>
      </c>
    </row>
    <row ht="13.5" customHeight="1" r="66" spans="1:5">
      <c r="A66" s="15" t="s">
        <v>322</v>
      </c>
      <c r="B66" s="15" t="s">
        <v>34</v>
      </c>
      <c r="C66" s="30">
        <v>33.43</v>
      </c>
      <c r="D66" s="104">
        <v>0</v>
      </c>
      <c r="E66" s="107">
        <f>C66*D66</f>
        <v>0</v>
      </c>
    </row>
    <row ht="13.5" customHeight="1" r="67" spans="1:5">
      <c r="A67" s="15" t="s">
        <v>323</v>
      </c>
      <c r="B67" s="15" t="s">
        <v>324</v>
      </c>
      <c r="C67" s="30">
        <v>1.88</v>
      </c>
      <c r="D67" s="104">
        <v>1.5</v>
      </c>
      <c r="E67" s="107">
        <f>C67*D67</f>
        <v>2.82</v>
      </c>
    </row>
    <row ht="13.5" customHeight="1" r="68" spans="1:5">
      <c r="A68" s="15" t="s">
        <v>325</v>
      </c>
      <c r="B68" s="15" t="s">
        <v>324</v>
      </c>
      <c r="C68" s="30">
        <v>2.46</v>
      </c>
      <c r="D68" s="104">
        <v>1</v>
      </c>
      <c r="E68" s="107">
        <f>C68*D68</f>
        <v>2.46</v>
      </c>
    </row>
    <row ht="13.5" customHeight="1" r="69" spans="1:5">
      <c r="A69" s="15" t="s">
        <v>326</v>
      </c>
      <c r="B69" s="15" t="s">
        <v>327</v>
      </c>
      <c r="C69" s="30">
        <v>6.33</v>
      </c>
      <c r="D69" s="104">
        <v>0</v>
      </c>
      <c r="E69" s="107">
        <f>C69*D69</f>
        <v>0</v>
      </c>
    </row>
    <row ht="13.5" customHeight="1" r="70" spans="1:5">
      <c r="A70" s="41" t="s">
        <v>328</v>
      </c>
      <c r="D70" s="42">
        <v>0</v>
      </c>
      <c r="E70" s="107">
        <f>C70*D70</f>
        <v>0</v>
      </c>
    </row>
    <row ht="13.5" customHeight="1" r="71" spans="1:5">
      <c r="A71" s="15" t="s">
        <v>329</v>
      </c>
      <c r="B71" s="15" t="s">
        <v>330</v>
      </c>
      <c r="C71" s="30">
        <v>1.39</v>
      </c>
      <c r="D71" s="104">
        <v>0</v>
      </c>
      <c r="E71" s="107">
        <f>C71*D71</f>
        <v>0</v>
      </c>
    </row>
    <row ht="13.5" customHeight="1" r="72" spans="1:5">
      <c r="A72" s="15" t="s">
        <v>331</v>
      </c>
      <c r="B72" s="15" t="s">
        <v>332</v>
      </c>
      <c r="C72" s="30">
        <v>22.73</v>
      </c>
      <c r="D72" s="104">
        <v>0</v>
      </c>
      <c r="E72" s="107">
        <f>C72*D72</f>
        <v>0</v>
      </c>
    </row>
    <row ht="13.5" customHeight="1" r="73" spans="1:5">
      <c r="A73" s="15" t="s">
        <v>333</v>
      </c>
      <c r="B73" s="15"/>
      <c r="C73" s="30">
        <v>50</v>
      </c>
      <c r="D73" s="104">
        <v>0</v>
      </c>
      <c r="E73" s="107">
        <f>C73*D73</f>
        <v>0</v>
      </c>
    </row>
    <row ht="13.5" customHeight="1" r="74" spans="1:5">
      <c r="A74" s="15" t="s">
        <v>334</v>
      </c>
      <c r="B74" s="15"/>
      <c r="C74" s="30"/>
      <c r="D74" s="104">
        <v>0</v>
      </c>
      <c r="E74" s="107">
        <f>C74*D74</f>
        <v>0</v>
      </c>
    </row>
    <row ht="13.5" customHeight="1" r="75" spans="1:5">
      <c r="A75" s="15" t="s">
        <v>335</v>
      </c>
      <c r="B75" s="15" t="s">
        <v>336</v>
      </c>
      <c r="C75" s="30">
        <v>0.93</v>
      </c>
      <c r="D75" s="104">
        <v>0</v>
      </c>
      <c r="E75" s="107">
        <f>C75*D75</f>
        <v>0</v>
      </c>
    </row>
    <row ht="13.5" customHeight="1" r="76" spans="1:5">
      <c r="A76" s="15" t="s">
        <v>337</v>
      </c>
      <c r="B76" s="15" t="s">
        <v>230</v>
      </c>
      <c r="C76" s="30">
        <v>21.87</v>
      </c>
      <c r="D76" s="104">
        <v>1</v>
      </c>
      <c r="E76" s="107">
        <f>C76*D76</f>
        <v>21.87</v>
      </c>
    </row>
    <row ht="13.5" customHeight="1" r="77" spans="1:5">
      <c r="A77" s="15" t="s">
        <v>338</v>
      </c>
      <c r="B77" s="15" t="s">
        <v>230</v>
      </c>
      <c r="C77" s="30">
        <v>24.48</v>
      </c>
      <c r="D77" s="104">
        <v>0</v>
      </c>
      <c r="E77" s="107">
        <f>C77*D77</f>
        <v>0</v>
      </c>
    </row>
    <row ht="13.5" customHeight="1" r="78" spans="1:5">
      <c r="A78" s="15" t="s">
        <v>339</v>
      </c>
      <c r="B78" s="15" t="s">
        <v>27</v>
      </c>
      <c r="C78" s="30"/>
      <c r="D78" s="104">
        <v>0</v>
      </c>
      <c r="E78" s="107">
        <f>C78*D78</f>
        <v>0</v>
      </c>
    </row>
    <row ht="13.5" customHeight="1" r="79" spans="1:5">
      <c r="A79" s="40" t="s">
        <v>340</v>
      </c>
      <c r="B79" s="15"/>
      <c r="C79" s="30">
        <v>50</v>
      </c>
      <c r="D79" s="104">
        <v>0</v>
      </c>
      <c r="E79" s="107">
        <f>C79*D79</f>
        <v>0</v>
      </c>
    </row>
    <row ht="13.5" customHeight="1" r="80" spans="1:5">
      <c r="A80" s="5" t="s">
        <v>341</v>
      </c>
      <c r="B80" s="15"/>
      <c r="C80" s="43"/>
      <c r="D80" s="24"/>
      <c r="E80" s="14">
        <f>SUM(E5:E79)</f>
        <v>701.575</v>
      </c>
    </row>
    <row ht="12" customHeight="1" r="81"/>
    <row ht="12" customHeight="1" r="82"/>
    <row ht="12" customHeight="1" r="83"/>
    <row ht="12" customHeight="1" r="84"/>
    <row ht="12" customHeight="1" r="85"/>
    <row ht="12" customHeight="1" r="86"/>
    <row ht="12" customHeight="1" r="87"/>
    <row ht="12" customHeight="1" r="88"/>
    <row ht="12" customHeight="1" r="89"/>
    <row ht="12" customHeight="1" r="90"/>
    <row ht="12" customHeight="1" r="91"/>
    <row ht="12" customHeight="1" r="92"/>
    <row ht="12" customHeight="1" r="93"/>
    <row ht="12" customHeight="1" r="94"/>
    <row ht="12" customHeight="1" r="95"/>
    <row ht="12" customHeight="1" r="96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2" customHeight="1" r="234"/>
    <row ht="12" customHeight="1" r="235"/>
    <row ht="12" customHeight="1" r="236"/>
    <row ht="12" customHeight="1" r="237"/>
    <row ht="12" customHeight="1" r="238"/>
    <row ht="12" customHeight="1" r="239"/>
    <row ht="12" customHeight="1" r="240"/>
    <row ht="12" customHeight="1" r="241"/>
    <row ht="12" customHeight="1" r="242"/>
    <row ht="12" customHeight="1" r="243"/>
    <row ht="12" customHeight="1" r="244"/>
    <row ht="12" customHeight="1" r="245"/>
    <row ht="12" customHeight="1" r="246"/>
    <row ht="12" customHeight="1" r="247"/>
    <row ht="12" customHeight="1" r="248"/>
    <row ht="12" customHeight="1" r="249"/>
    <row ht="12" customHeight="1" r="250"/>
    <row ht="12" customHeight="1" r="251"/>
    <row ht="12" customHeight="1" r="252"/>
    <row ht="12" customHeight="1" r="253"/>
    <row ht="12" customHeight="1" r="254"/>
    <row ht="12" customHeight="1" r="255"/>
    <row ht="12" customHeight="1" r="256"/>
    <row ht="12" customHeight="1" r="257"/>
    <row ht="12" customHeight="1" r="258"/>
    <row ht="12" customHeight="1" r="259"/>
    <row ht="12" customHeight="1" r="260"/>
    <row ht="12" customHeight="1" r="261"/>
    <row ht="12" customHeight="1" r="262"/>
    <row ht="12" customHeight="1" r="263"/>
    <row ht="12" customHeight="1" r="264"/>
    <row ht="12" customHeight="1" r="265"/>
    <row ht="12" customHeight="1" r="266"/>
    <row ht="12" customHeight="1" r="267"/>
    <row ht="12" customHeight="1" r="268"/>
    <row ht="12" customHeight="1" r="269"/>
    <row ht="12" customHeight="1" r="270"/>
    <row ht="12" customHeight="1" r="271"/>
    <row ht="12" customHeight="1" r="272"/>
    <row ht="12" customHeight="1" r="273"/>
    <row ht="12" customHeight="1" r="274"/>
    <row ht="12" customHeight="1" r="275"/>
    <row ht="12" customHeight="1" r="276"/>
    <row ht="12" customHeight="1" r="277"/>
    <row ht="12" customHeight="1" r="278"/>
    <row ht="12" customHeight="1" r="279"/>
    <row ht="12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7" right="0.7" top="1.14375" bottom="1.14375" header="0" footer="0"/>
  <pageSetup orientation="portrait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Views>
    <sheetView workbookViewId="0">
      <selection pane="topLeft" activeCell="A1" sqref="A1"/>
    </sheetView>
  </sheetViews>
  <sheetFormatPr baseColWidth="8" defaultColWidth="12.625" defaultRowHeight="15"/>
  <cols>
    <col min="1" max="1" width="27.875" customWidth="1"/>
    <col min="2" max="4" width="14.5" customWidth="1"/>
    <col min="5" max="6" width="8" customWidth="1"/>
  </cols>
  <sheetData>
    <row ht="12" customHeight="1" r="1" spans="1:5"/>
    <row ht="12" customHeight="1" r="2" spans="1:5"/>
    <row ht="12" customHeight="1" r="3" spans="1:5">
      <c r="A3" s="9" t="s">
        <v>6</v>
      </c>
      <c r="B3" s="6"/>
      <c r="C3" s="6"/>
      <c r="D3" s="20"/>
    </row>
    <row ht="12" customHeight="1" r="4" spans="1:5">
      <c r="A4" s="22"/>
      <c r="B4" s="6"/>
      <c r="C4" s="6"/>
      <c r="D4" s="20"/>
    </row>
    <row ht="12" customHeight="1" r="5" spans="1:5">
      <c r="A5" s="23" t="s">
        <v>19</v>
      </c>
      <c r="B5" s="23" t="s">
        <v>20</v>
      </c>
      <c r="C5" s="23" t="s">
        <v>21</v>
      </c>
      <c r="D5" s="44" t="s">
        <v>22</v>
      </c>
      <c r="E5" s="45" t="s">
        <v>23</v>
      </c>
    </row>
    <row ht="12" customHeight="1" r="6" spans="1:5">
      <c r="A6" s="101" t="s">
        <v>342</v>
      </c>
      <c r="B6" s="102"/>
      <c r="C6" s="109"/>
      <c r="D6" s="46"/>
      <c r="E6" s="47"/>
    </row>
    <row ht="12" customHeight="1" r="7" spans="1:5">
      <c r="A7" s="102" t="s">
        <v>343</v>
      </c>
      <c r="B7" s="102" t="s">
        <v>163</v>
      </c>
      <c r="C7" s="109">
        <v>0.83</v>
      </c>
      <c r="D7" s="46">
        <v>48</v>
      </c>
      <c r="E7" s="48">
        <f>C7*D7</f>
        <v>39.84</v>
      </c>
    </row>
    <row ht="12" customHeight="1" r="8" spans="1:5">
      <c r="A8" s="49" t="s">
        <v>344</v>
      </c>
      <c r="B8" s="49" t="s">
        <v>189</v>
      </c>
      <c r="C8" s="50">
        <v>0.66</v>
      </c>
      <c r="D8" s="46">
        <v>0</v>
      </c>
      <c r="E8" s="48">
        <f>C8*D8</f>
        <v>0</v>
      </c>
    </row>
    <row ht="12" customHeight="1" r="9" spans="1:5">
      <c r="A9" s="15" t="s">
        <v>345</v>
      </c>
      <c r="B9" s="15" t="s">
        <v>163</v>
      </c>
      <c r="C9" s="39">
        <v>0.88</v>
      </c>
      <c r="D9" s="35">
        <v>12</v>
      </c>
      <c r="E9" s="48">
        <f>C9*D9</f>
        <v>10.56</v>
      </c>
    </row>
    <row ht="12" customHeight="1" r="10" spans="1:5">
      <c r="A10" s="15"/>
      <c r="B10" s="15"/>
      <c r="C10" s="39"/>
      <c r="D10" s="35"/>
      <c r="E10" s="48">
        <f>C10*D10</f>
        <v>0</v>
      </c>
    </row>
    <row ht="12" customHeight="1" r="11" spans="1:5">
      <c r="A11" s="15" t="s">
        <v>346</v>
      </c>
      <c r="B11" s="13" t="s">
        <v>336</v>
      </c>
      <c r="C11" s="39">
        <v>0.26</v>
      </c>
      <c r="D11" s="35">
        <v>72</v>
      </c>
      <c r="E11" s="48">
        <f>C11*D11</f>
        <v>18.72</v>
      </c>
    </row>
    <row ht="12" customHeight="1" r="12" spans="1:5">
      <c r="A12" s="15" t="s">
        <v>347</v>
      </c>
      <c r="B12" s="13" t="s">
        <v>336</v>
      </c>
      <c r="C12" s="39">
        <v>0.26</v>
      </c>
      <c r="D12" s="35">
        <v>0</v>
      </c>
      <c r="E12" s="48">
        <f>C12*D12</f>
        <v>0</v>
      </c>
    </row>
    <row ht="12" customHeight="1" r="13" spans="1:5">
      <c r="A13" s="15" t="s">
        <v>348</v>
      </c>
      <c r="B13" s="13" t="s">
        <v>198</v>
      </c>
      <c r="C13" s="29">
        <v>3.93</v>
      </c>
      <c r="D13" s="35">
        <v>0</v>
      </c>
      <c r="E13" s="48">
        <f>C13*D13</f>
        <v>0</v>
      </c>
    </row>
    <row ht="12" customHeight="1" r="14" spans="1:5">
      <c r="A14" s="15" t="s">
        <v>349</v>
      </c>
      <c r="B14" s="13" t="s">
        <v>198</v>
      </c>
      <c r="C14" s="29">
        <v>4.72</v>
      </c>
      <c r="D14" s="35">
        <v>1.3</v>
      </c>
      <c r="E14" s="48">
        <f>C14*D14</f>
        <v>6.136</v>
      </c>
    </row>
    <row ht="12" customHeight="1" r="15" spans="1:5">
      <c r="A15" s="15" t="s">
        <v>350</v>
      </c>
      <c r="B15" s="15" t="s">
        <v>200</v>
      </c>
      <c r="C15" s="39">
        <v>8.71</v>
      </c>
      <c r="D15" s="35">
        <v>2.3</v>
      </c>
      <c r="E15" s="48">
        <f>C15*D15</f>
        <v>20.033</v>
      </c>
    </row>
    <row ht="12" customHeight="1" r="16" spans="1:5">
      <c r="A16" s="15"/>
      <c r="B16" s="15"/>
      <c r="C16" s="39"/>
      <c r="D16" s="35"/>
      <c r="E16" s="48">
        <f>C16*D16</f>
        <v>0</v>
      </c>
    </row>
    <row ht="12" customHeight="1" r="17" spans="1:5">
      <c r="A17" s="15"/>
      <c r="B17" s="15"/>
      <c r="C17" s="39"/>
      <c r="D17" s="35"/>
      <c r="E17" s="48">
        <f>C17*D17</f>
        <v>0</v>
      </c>
    </row>
    <row ht="12" customHeight="1" r="18" spans="1:5">
      <c r="A18" s="15"/>
      <c r="B18" s="15"/>
      <c r="C18" s="39"/>
      <c r="D18" s="35"/>
      <c r="E18" s="48">
        <f>C18*D18</f>
        <v>0</v>
      </c>
    </row>
    <row ht="12" customHeight="1" r="19" spans="1:5">
      <c r="A19" s="15" t="s">
        <v>351</v>
      </c>
      <c r="B19" s="15" t="s">
        <v>352</v>
      </c>
      <c r="C19" s="39">
        <v>0.69</v>
      </c>
      <c r="D19" s="35">
        <v>11</v>
      </c>
      <c r="E19" s="48">
        <f>C19*D19</f>
        <v>7.59</v>
      </c>
    </row>
    <row ht="12" customHeight="1" r="20" spans="1:5">
      <c r="A20" s="15" t="s">
        <v>353</v>
      </c>
      <c r="B20" s="15" t="s">
        <v>352</v>
      </c>
      <c r="C20" s="39">
        <v>1.54</v>
      </c>
      <c r="D20" s="35">
        <v>0</v>
      </c>
      <c r="E20" s="48">
        <f>C20*D20</f>
        <v>0</v>
      </c>
    </row>
    <row ht="12" customHeight="1" r="21" spans="1:5">
      <c r="A21" s="15" t="s">
        <v>354</v>
      </c>
      <c r="B21" s="15" t="s">
        <v>300</v>
      </c>
      <c r="C21" s="39">
        <v>3.13</v>
      </c>
      <c r="D21" s="35">
        <v>15</v>
      </c>
      <c r="E21" s="48">
        <f>C21*D21</f>
        <v>46.95</v>
      </c>
    </row>
    <row ht="12" customHeight="1" r="22" spans="1:5">
      <c r="A22" s="15" t="s">
        <v>355</v>
      </c>
      <c r="B22" s="15" t="s">
        <v>163</v>
      </c>
      <c r="C22" s="39">
        <v>0.7</v>
      </c>
      <c r="D22" s="35">
        <v>64</v>
      </c>
      <c r="E22" s="48">
        <f>C22*D22</f>
        <v>44.8</v>
      </c>
    </row>
    <row ht="12" customHeight="1" r="23" spans="1:5">
      <c r="A23" s="15" t="s">
        <v>356</v>
      </c>
      <c r="B23" s="15" t="s">
        <v>336</v>
      </c>
      <c r="C23" s="39">
        <v>0.23</v>
      </c>
      <c r="D23" s="35">
        <v>0</v>
      </c>
      <c r="E23" s="48">
        <f>C23*D23</f>
        <v>0</v>
      </c>
    </row>
    <row ht="12" customHeight="1" r="24" spans="1:5">
      <c r="A24" s="15" t="s">
        <v>357</v>
      </c>
      <c r="B24" s="15" t="s">
        <v>358</v>
      </c>
      <c r="C24" s="39">
        <v>5.75</v>
      </c>
      <c r="D24" s="35">
        <v>5</v>
      </c>
      <c r="E24" s="48">
        <f>C24*D24</f>
        <v>28.75</v>
      </c>
    </row>
    <row ht="12" customHeight="1" r="25" spans="1:5">
      <c r="A25" s="28" t="s">
        <v>359</v>
      </c>
      <c r="B25" s="15"/>
      <c r="C25" s="30"/>
      <c r="D25" s="35"/>
      <c r="E25" s="48">
        <f>C25*D25</f>
        <v>0</v>
      </c>
    </row>
    <row ht="12" customHeight="1" r="26" spans="1:5">
      <c r="A26" s="15" t="s">
        <v>360</v>
      </c>
      <c r="B26" s="13" t="s">
        <v>246</v>
      </c>
      <c r="C26" s="29">
        <v>0.75</v>
      </c>
      <c r="D26" s="35">
        <v>24</v>
      </c>
      <c r="E26" s="48">
        <f>C26*D26</f>
        <v>18</v>
      </c>
    </row>
    <row ht="12" customHeight="1" r="27" spans="1:5">
      <c r="A27" s="15" t="s">
        <v>361</v>
      </c>
      <c r="B27" s="13" t="s">
        <v>246</v>
      </c>
      <c r="C27" s="29">
        <v>1.49</v>
      </c>
      <c r="D27" s="35">
        <v>48</v>
      </c>
      <c r="E27" s="48">
        <f>C27*D27</f>
        <v>71.52</v>
      </c>
    </row>
    <row ht="12" customHeight="1" r="28" spans="1:5">
      <c r="A28" s="15" t="s">
        <v>362</v>
      </c>
      <c r="B28" s="13" t="s">
        <v>336</v>
      </c>
      <c r="C28" s="29">
        <v>0.25</v>
      </c>
      <c r="D28" s="35">
        <v>0</v>
      </c>
      <c r="E28" s="48">
        <f>C28*D28</f>
        <v>0</v>
      </c>
    </row>
    <row ht="12" customHeight="1" r="29" spans="1:5">
      <c r="A29" s="15" t="s">
        <v>363</v>
      </c>
      <c r="B29" s="13" t="s">
        <v>364</v>
      </c>
      <c r="C29" s="29">
        <v>29.04</v>
      </c>
      <c r="D29" s="35">
        <v>1</v>
      </c>
      <c r="E29" s="48">
        <f>C29*D29</f>
        <v>29.04</v>
      </c>
    </row>
    <row ht="12" customHeight="1" r="30" spans="1:5">
      <c r="A30" s="15" t="s">
        <v>365</v>
      </c>
      <c r="B30" s="13" t="s">
        <v>246</v>
      </c>
      <c r="C30" s="29">
        <v>1.62</v>
      </c>
      <c r="D30" s="35">
        <v>24</v>
      </c>
      <c r="E30" s="48">
        <f>C30*D30</f>
        <v>38.88</v>
      </c>
    </row>
    <row ht="12" customHeight="1" r="31" spans="1:5">
      <c r="A31" s="15" t="s">
        <v>366</v>
      </c>
      <c r="B31" s="13" t="s">
        <v>367</v>
      </c>
      <c r="C31" s="29">
        <v>0.69</v>
      </c>
      <c r="D31" s="35">
        <v>0</v>
      </c>
      <c r="E31" s="48">
        <f>C31*D31</f>
        <v>0</v>
      </c>
    </row>
    <row ht="12" customHeight="1" r="32" spans="1:5">
      <c r="A32" s="15" t="s">
        <v>368</v>
      </c>
      <c r="B32" s="13" t="s">
        <v>369</v>
      </c>
      <c r="C32" s="29">
        <v>1.09</v>
      </c>
      <c r="D32" s="35">
        <v>0</v>
      </c>
      <c r="E32" s="48">
        <f>C32*D32</f>
        <v>0</v>
      </c>
    </row>
    <row ht="12" customHeight="1" r="33" spans="1:5">
      <c r="A33" s="15" t="s">
        <v>370</v>
      </c>
      <c r="B33" s="13" t="s">
        <v>145</v>
      </c>
      <c r="C33" s="29">
        <v>11.59</v>
      </c>
      <c r="D33" s="35">
        <v>3</v>
      </c>
      <c r="E33" s="48">
        <f>C33*D33</f>
        <v>34.77</v>
      </c>
    </row>
    <row ht="12" customHeight="1" r="34" spans="1:5">
      <c r="A34" s="15" t="s">
        <v>371</v>
      </c>
      <c r="B34" s="13" t="s">
        <v>372</v>
      </c>
      <c r="C34" s="29"/>
      <c r="D34" s="35">
        <v>0</v>
      </c>
      <c r="E34" s="48">
        <f>C34*D34</f>
        <v>0</v>
      </c>
    </row>
    <row ht="12" customHeight="1" r="35" spans="1:5">
      <c r="A35" s="15" t="s">
        <v>373</v>
      </c>
      <c r="B35" s="13" t="s">
        <v>336</v>
      </c>
      <c r="C35" s="29">
        <v>0.23</v>
      </c>
      <c r="D35" s="35">
        <v>0</v>
      </c>
      <c r="E35" s="48">
        <f>C35*D35</f>
        <v>0</v>
      </c>
    </row>
    <row ht="12" customHeight="1" r="36" spans="1:5">
      <c r="A36" s="28" t="s">
        <v>374</v>
      </c>
      <c r="B36" s="15"/>
      <c r="C36" s="39"/>
      <c r="D36" s="35"/>
      <c r="E36" s="48">
        <f>C36*D36</f>
        <v>0</v>
      </c>
    </row>
    <row ht="12" customHeight="1" r="37" spans="1:5">
      <c r="A37" s="15" t="s">
        <v>375</v>
      </c>
      <c r="B37" s="13" t="s">
        <v>120</v>
      </c>
      <c r="C37" s="29">
        <v>20.65</v>
      </c>
      <c r="D37" s="51">
        <v>0</v>
      </c>
      <c r="E37" s="48">
        <f>C37*D37</f>
        <v>0</v>
      </c>
    </row>
    <row ht="12" customHeight="1" r="38" spans="1:5">
      <c r="A38" s="15" t="s">
        <v>376</v>
      </c>
      <c r="B38" s="13" t="s">
        <v>141</v>
      </c>
      <c r="C38" s="29">
        <v>18.83</v>
      </c>
      <c r="D38" s="35"/>
      <c r="E38" s="48">
        <f>C38*D38</f>
        <v>0</v>
      </c>
    </row>
    <row ht="12" customHeight="1" r="39" spans="1:5">
      <c r="A39" s="15" t="s">
        <v>377</v>
      </c>
      <c r="B39" s="13" t="s">
        <v>378</v>
      </c>
      <c r="C39" s="29">
        <v>1.83</v>
      </c>
      <c r="D39" s="35">
        <v>200</v>
      </c>
      <c r="E39" s="48">
        <f>C39*D39</f>
        <v>366</v>
      </c>
    </row>
    <row ht="12" customHeight="1" r="40" spans="1:5">
      <c r="A40" s="15" t="s">
        <v>379</v>
      </c>
      <c r="B40" s="13" t="s">
        <v>29</v>
      </c>
      <c r="C40" s="29">
        <v>0</v>
      </c>
      <c r="D40" s="35"/>
      <c r="E40" s="48">
        <f>C40*D40</f>
        <v>0</v>
      </c>
    </row>
    <row ht="12" customHeight="1" r="41" spans="1:5">
      <c r="A41" s="15" t="s">
        <v>380</v>
      </c>
      <c r="B41" s="13" t="s">
        <v>29</v>
      </c>
      <c r="C41" s="29">
        <v>7.28</v>
      </c>
      <c r="D41" s="35">
        <v>0</v>
      </c>
      <c r="E41" s="48">
        <f>C41*D41</f>
        <v>0</v>
      </c>
    </row>
    <row ht="12" customHeight="1" r="42" spans="1:5">
      <c r="A42" s="15" t="s">
        <v>381</v>
      </c>
      <c r="B42" s="15" t="s">
        <v>77</v>
      </c>
      <c r="C42" s="30">
        <v>28.39</v>
      </c>
      <c r="D42" s="35">
        <v>1.3</v>
      </c>
      <c r="E42" s="48">
        <f>C42*D42</f>
        <v>36.907</v>
      </c>
    </row>
    <row ht="12" customHeight="1" r="43" spans="1:5">
      <c r="A43" s="15" t="s">
        <v>382</v>
      </c>
      <c r="B43" s="13" t="s">
        <v>145</v>
      </c>
      <c r="C43" s="30">
        <v>18.61</v>
      </c>
      <c r="D43" s="35">
        <v>0</v>
      </c>
      <c r="E43" s="48">
        <f>C43*D43</f>
        <v>0</v>
      </c>
    </row>
    <row ht="12" customHeight="1" r="44" spans="1:5">
      <c r="A44" s="15" t="s">
        <v>383</v>
      </c>
      <c r="B44" s="13" t="s">
        <v>336</v>
      </c>
      <c r="C44" s="30">
        <v>0.3</v>
      </c>
      <c r="D44" s="35">
        <v>864</v>
      </c>
      <c r="E44" s="48">
        <f>C44*D44</f>
        <v>259.2</v>
      </c>
    </row>
    <row ht="12" customHeight="1" r="45" spans="1:5">
      <c r="A45" s="15" t="s">
        <v>384</v>
      </c>
      <c r="B45" s="13" t="s">
        <v>120</v>
      </c>
      <c r="C45" s="29">
        <v>20.65</v>
      </c>
      <c r="D45" s="35">
        <v>1</v>
      </c>
      <c r="E45" s="48">
        <f>C45*D45</f>
        <v>20.65</v>
      </c>
    </row>
    <row ht="12" customHeight="1" r="46" spans="1:5">
      <c r="A46" s="15" t="s">
        <v>385</v>
      </c>
      <c r="B46" s="13" t="s">
        <v>386</v>
      </c>
      <c r="C46" s="29">
        <v>27.51</v>
      </c>
      <c r="D46" s="35">
        <v>1</v>
      </c>
      <c r="E46" s="48">
        <f>C46*D46</f>
        <v>27.51</v>
      </c>
    </row>
    <row ht="12" customHeight="1" r="47" spans="1:5">
      <c r="A47" s="15" t="s">
        <v>387</v>
      </c>
      <c r="B47" s="15" t="s">
        <v>388</v>
      </c>
      <c r="C47" s="39">
        <v>2.2</v>
      </c>
      <c r="D47" s="52">
        <v>2</v>
      </c>
      <c r="E47" s="48">
        <f>C47*D47</f>
        <v>4.4</v>
      </c>
    </row>
    <row ht="12" customHeight="1" r="48" spans="1:5">
      <c r="A48" s="15" t="s">
        <v>389</v>
      </c>
      <c r="B48" s="15"/>
      <c r="C48" s="39">
        <v>10.3</v>
      </c>
      <c r="D48" s="35">
        <v>0</v>
      </c>
      <c r="E48" s="48">
        <f>C48*D48</f>
        <v>0</v>
      </c>
    </row>
    <row ht="12" customHeight="1" r="49" spans="1:5">
      <c r="A49" s="15" t="s">
        <v>390</v>
      </c>
      <c r="B49" s="15" t="s">
        <v>391</v>
      </c>
      <c r="C49" s="39">
        <v>5.39</v>
      </c>
      <c r="D49" s="35">
        <v>0</v>
      </c>
      <c r="E49" s="48">
        <f>C49*D49</f>
        <v>0</v>
      </c>
    </row>
    <row ht="12" customHeight="1" r="50" spans="1:5">
      <c r="A50" s="15" t="s">
        <v>392</v>
      </c>
      <c r="B50" s="15" t="s">
        <v>393</v>
      </c>
      <c r="C50" s="39">
        <v>19.03</v>
      </c>
      <c r="D50" s="35">
        <v>1</v>
      </c>
      <c r="E50" s="48">
        <f>C50*D50</f>
        <v>19.03</v>
      </c>
    </row>
    <row ht="12" customHeight="1" r="51" spans="1:5">
      <c r="A51" s="15" t="s">
        <v>394</v>
      </c>
      <c r="B51" s="15" t="s">
        <v>395</v>
      </c>
      <c r="C51" s="39">
        <v>6.6</v>
      </c>
      <c r="D51" s="35">
        <v>1</v>
      </c>
      <c r="E51" s="48">
        <f>C51*D51</f>
        <v>6.6</v>
      </c>
    </row>
    <row ht="12" customHeight="1" r="52" spans="1:5">
      <c r="A52" s="15" t="s">
        <v>396</v>
      </c>
      <c r="B52" s="15" t="s">
        <v>397</v>
      </c>
      <c r="C52" s="39">
        <v>2.89</v>
      </c>
      <c r="D52" s="35">
        <v>0.5</v>
      </c>
      <c r="E52" s="48">
        <f>C52*D52</f>
        <v>1.445</v>
      </c>
    </row>
    <row ht="12" customHeight="1" r="53" spans="1:5">
      <c r="A53" s="15" t="s">
        <v>398</v>
      </c>
      <c r="B53" s="15" t="s">
        <v>397</v>
      </c>
      <c r="C53" s="39">
        <v>2.89</v>
      </c>
      <c r="D53" s="35">
        <v>3</v>
      </c>
      <c r="E53" s="48">
        <f>C53*D53</f>
        <v>8.67</v>
      </c>
    </row>
    <row ht="12" customHeight="1" r="54" spans="1:5">
      <c r="A54" s="15"/>
      <c r="B54" s="15"/>
      <c r="C54" s="39"/>
      <c r="D54" s="35"/>
      <c r="E54" s="48">
        <f>C54*D54</f>
        <v>0</v>
      </c>
    </row>
    <row ht="12" customHeight="1" r="55" spans="1:5">
      <c r="A55" s="15" t="s">
        <v>399</v>
      </c>
      <c r="B55" s="15" t="s">
        <v>400</v>
      </c>
      <c r="C55" s="39">
        <v>15.63</v>
      </c>
      <c r="D55" s="35">
        <v>2.6</v>
      </c>
      <c r="E55" s="48">
        <f>C55*D55</f>
        <v>40.638</v>
      </c>
    </row>
    <row ht="12" customHeight="1" r="56" spans="1:5">
      <c r="A56" s="15" t="s">
        <v>401</v>
      </c>
      <c r="B56" s="15" t="s">
        <v>400</v>
      </c>
      <c r="C56" s="39"/>
      <c r="D56" s="35"/>
      <c r="E56" s="48">
        <f>C56*D56</f>
        <v>0</v>
      </c>
    </row>
    <row ht="12" customHeight="1" r="57" spans="1:5">
      <c r="A57" s="15" t="s">
        <v>402</v>
      </c>
      <c r="B57" s="15" t="s">
        <v>400</v>
      </c>
      <c r="C57" s="39"/>
      <c r="D57" s="35">
        <v>0</v>
      </c>
      <c r="E57" s="48">
        <f>C57*D57</f>
        <v>0</v>
      </c>
    </row>
    <row ht="12" customHeight="1" r="58" spans="1:5">
      <c r="A58" s="15" t="s">
        <v>403</v>
      </c>
      <c r="B58" s="15" t="s">
        <v>230</v>
      </c>
      <c r="C58" s="39">
        <v>9.12</v>
      </c>
      <c r="D58" s="35">
        <v>0</v>
      </c>
      <c r="E58" s="48">
        <f>C58*D58</f>
        <v>0</v>
      </c>
    </row>
    <row ht="12" customHeight="1" r="59" spans="1:5">
      <c r="A59" s="15" t="s">
        <v>404</v>
      </c>
      <c r="B59" s="15" t="s">
        <v>405</v>
      </c>
      <c r="C59" s="39">
        <v>7.53</v>
      </c>
      <c r="D59" s="35">
        <v>0</v>
      </c>
      <c r="E59" s="48">
        <f>C59*D59</f>
        <v>0</v>
      </c>
    </row>
    <row ht="12" customHeight="1" r="60" spans="1:5">
      <c r="A60" s="15" t="s">
        <v>406</v>
      </c>
      <c r="B60" s="15"/>
      <c r="C60" s="39">
        <v>0.79</v>
      </c>
      <c r="D60" s="35">
        <v>0</v>
      </c>
      <c r="E60" s="48">
        <f>C60*D60</f>
        <v>0</v>
      </c>
    </row>
    <row ht="12" customHeight="1" r="61" spans="1:5">
      <c r="A61" s="53" t="s">
        <v>407</v>
      </c>
      <c r="B61" s="15" t="s">
        <v>230</v>
      </c>
      <c r="C61" s="39">
        <v>10.39</v>
      </c>
      <c r="D61" s="35">
        <v>0</v>
      </c>
      <c r="E61" s="48">
        <f>C61*D61</f>
        <v>0</v>
      </c>
    </row>
    <row ht="12" customHeight="1" r="62" spans="1:5">
      <c r="A62" s="15" t="s">
        <v>408</v>
      </c>
      <c r="B62" s="15" t="s">
        <v>336</v>
      </c>
      <c r="C62" s="39">
        <v>14.2</v>
      </c>
      <c r="D62" s="35">
        <v>0</v>
      </c>
      <c r="E62" s="48">
        <f>C62*D62</f>
        <v>0</v>
      </c>
    </row>
    <row ht="12" customHeight="1" r="63" spans="1:5">
      <c r="A63" s="15"/>
      <c r="B63" s="15"/>
      <c r="C63" s="39"/>
      <c r="D63" s="35"/>
      <c r="E63" s="48">
        <f>C63*D63</f>
        <v>0</v>
      </c>
    </row>
    <row ht="12" customHeight="1" r="64" spans="1:5">
      <c r="A64" s="15"/>
      <c r="B64" s="15"/>
      <c r="C64" s="39"/>
      <c r="D64" s="35"/>
      <c r="E64" s="48">
        <f>C64*D64</f>
        <v>0</v>
      </c>
    </row>
    <row ht="12" customHeight="1" r="65" spans="1:5">
      <c r="A65" s="28" t="s">
        <v>409</v>
      </c>
      <c r="B65" s="15"/>
      <c r="C65" s="39"/>
      <c r="D65" s="35"/>
      <c r="E65" s="48">
        <f>C65*D65</f>
        <v>0</v>
      </c>
    </row>
    <row ht="12" customHeight="1" r="66" spans="1:5">
      <c r="A66" s="15" t="s">
        <v>410</v>
      </c>
      <c r="B66" s="15" t="s">
        <v>29</v>
      </c>
      <c r="C66" s="30">
        <v>4.31</v>
      </c>
      <c r="D66" s="35">
        <v>1.6</v>
      </c>
      <c r="E66" s="48">
        <f>C66*D66</f>
        <v>6.896</v>
      </c>
    </row>
    <row ht="12" customHeight="1" r="67" spans="1:5">
      <c r="A67" s="15" t="s">
        <v>411</v>
      </c>
      <c r="B67" s="15" t="s">
        <v>29</v>
      </c>
      <c r="C67" s="30">
        <v>4.31</v>
      </c>
      <c r="D67" s="35">
        <v>1</v>
      </c>
      <c r="E67" s="48">
        <f>C67*D67</f>
        <v>4.31</v>
      </c>
    </row>
    <row ht="12" customHeight="1" r="68" spans="1:5">
      <c r="A68" s="15" t="s">
        <v>412</v>
      </c>
      <c r="B68" s="15" t="s">
        <v>413</v>
      </c>
      <c r="C68" s="39">
        <v>21.12</v>
      </c>
      <c r="D68" s="35">
        <v>0</v>
      </c>
      <c r="E68" s="48">
        <f>C68*D68</f>
        <v>0</v>
      </c>
    </row>
    <row ht="12" customHeight="1" r="69" spans="1:5">
      <c r="A69" s="15" t="s">
        <v>414</v>
      </c>
      <c r="B69" s="15" t="s">
        <v>413</v>
      </c>
      <c r="C69" s="39">
        <v>21.05</v>
      </c>
      <c r="D69" s="35">
        <v>0</v>
      </c>
      <c r="E69" s="48">
        <f>C69*D69</f>
        <v>0</v>
      </c>
    </row>
    <row ht="12" customHeight="1" r="70" spans="1:5">
      <c r="A70" s="15"/>
      <c r="B70" s="15"/>
      <c r="C70" s="39">
        <v>800</v>
      </c>
      <c r="D70" s="35"/>
      <c r="E70" s="48">
        <f>C70*D70</f>
        <v>0</v>
      </c>
    </row>
    <row ht="12" customHeight="1" r="71" spans="1:5">
      <c r="A71" s="15"/>
      <c r="B71" s="15"/>
      <c r="C71" s="39"/>
      <c r="D71" s="35"/>
      <c r="E71" s="48">
        <f>C71*D71</f>
        <v>0</v>
      </c>
    </row>
    <row ht="12" customHeight="1" r="72" spans="1:5">
      <c r="A72" s="15"/>
      <c r="B72" s="15"/>
      <c r="C72" s="39"/>
      <c r="D72" s="35"/>
      <c r="E72" s="48">
        <f>C72*D72</f>
        <v>0</v>
      </c>
    </row>
    <row ht="12" customHeight="1" r="73" spans="1:5">
      <c r="A73" s="15"/>
      <c r="B73" s="15"/>
      <c r="C73" s="39"/>
      <c r="D73" s="35"/>
      <c r="E73" s="48">
        <f>C73*D73</f>
        <v>0</v>
      </c>
    </row>
    <row ht="12" customHeight="1" r="74" spans="1:5">
      <c r="A74" s="15"/>
      <c r="B74" s="15"/>
      <c r="C74" s="39"/>
      <c r="D74" s="35"/>
      <c r="E74" s="48">
        <f>C74*D74</f>
        <v>0</v>
      </c>
    </row>
    <row ht="12" customHeight="1" r="75" spans="1:5">
      <c r="A75" s="15"/>
      <c r="B75" s="15"/>
      <c r="C75" s="39"/>
      <c r="D75" s="35"/>
      <c r="E75" s="48">
        <f>C75*D75</f>
        <v>0</v>
      </c>
    </row>
    <row ht="12" customHeight="1" r="76" spans="1:5">
      <c r="A76" s="15"/>
      <c r="B76" s="15"/>
      <c r="C76" s="39"/>
      <c r="D76" s="35"/>
      <c r="E76" s="48">
        <f>C76*D76</f>
        <v>0</v>
      </c>
    </row>
    <row ht="12" customHeight="1" r="77" spans="1:5">
      <c r="A77" s="15"/>
      <c r="B77" s="15"/>
      <c r="C77" s="39"/>
      <c r="D77" s="35"/>
      <c r="E77" s="48">
        <f>C77*D77</f>
        <v>0</v>
      </c>
    </row>
    <row ht="12" customHeight="1" r="78" spans="1:5">
      <c r="A78" s="15"/>
      <c r="B78" s="15"/>
      <c r="C78" s="39"/>
      <c r="D78" s="35"/>
      <c r="E78" s="48">
        <f>C78*D78</f>
        <v>0</v>
      </c>
    </row>
    <row ht="12" customHeight="1" r="79" spans="1:5">
      <c r="A79" s="15"/>
      <c r="B79" s="15"/>
      <c r="C79" s="39"/>
      <c r="D79" s="35"/>
      <c r="E79" s="48">
        <f>C79*D79</f>
        <v>0</v>
      </c>
    </row>
    <row ht="12" customHeight="1" r="80" spans="1:5">
      <c r="A80" s="15"/>
      <c r="B80" s="15"/>
      <c r="C80" s="39"/>
      <c r="D80" s="35"/>
      <c r="E80" s="48">
        <f>C80*D80</f>
        <v>0</v>
      </c>
    </row>
    <row ht="12" customHeight="1" r="81" spans="1:5">
      <c r="A81" s="15"/>
      <c r="B81" s="15"/>
      <c r="C81" s="39"/>
      <c r="D81" s="35"/>
      <c r="E81" s="48">
        <f>C81*D81</f>
        <v>0</v>
      </c>
    </row>
    <row ht="12" customHeight="1" r="82" spans="1:5">
      <c r="A82" s="15"/>
      <c r="B82" s="15"/>
      <c r="C82" s="39"/>
      <c r="D82" s="35"/>
      <c r="E82" s="48">
        <f>C82*D82</f>
        <v>0</v>
      </c>
    </row>
    <row ht="12" customHeight="1" r="83" spans="1:5">
      <c r="A83" s="5" t="s">
        <v>341</v>
      </c>
      <c r="B83" s="15"/>
      <c r="C83" s="15"/>
      <c r="D83" s="54"/>
      <c r="E83" s="48">
        <f>SUM(E6:E82)</f>
        <v>1217.845</v>
      </c>
    </row>
    <row ht="12" customHeight="1" r="84" spans="1:5"/>
    <row ht="12" customHeight="1" r="85" spans="1:5"/>
    <row ht="12" customHeight="1" r="86" spans="1:5"/>
    <row ht="12" customHeight="1" r="87" spans="1:5"/>
    <row ht="12" customHeight="1" r="88" spans="1:5"/>
    <row ht="12" customHeight="1" r="89" spans="1:5"/>
    <row ht="12" customHeight="1" r="90" spans="1:5"/>
    <row ht="12" customHeight="1" r="91" spans="1:5"/>
    <row ht="12" customHeight="1" r="92" spans="1:5"/>
    <row ht="12" customHeight="1" r="93" spans="1:5"/>
    <row ht="12" customHeight="1" r="94" spans="1:5"/>
    <row ht="12" customHeight="1" r="95" spans="1:5"/>
    <row ht="12" customHeight="1" r="96" spans="1:5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2" customHeight="1" r="234"/>
    <row ht="12" customHeight="1" r="235"/>
    <row ht="12" customHeight="1" r="236"/>
    <row ht="12" customHeight="1" r="237"/>
    <row ht="12" customHeight="1" r="238"/>
    <row ht="12" customHeight="1" r="239"/>
    <row ht="12" customHeight="1" r="240"/>
    <row ht="12" customHeight="1" r="241"/>
    <row ht="12" customHeight="1" r="242"/>
    <row ht="12" customHeight="1" r="243"/>
    <row ht="12" customHeight="1" r="244"/>
    <row ht="12" customHeight="1" r="245"/>
    <row ht="12" customHeight="1" r="246"/>
    <row ht="12" customHeight="1" r="247"/>
    <row ht="12" customHeight="1" r="248"/>
    <row ht="12" customHeight="1" r="249"/>
    <row ht="12" customHeight="1" r="250"/>
    <row ht="12" customHeight="1" r="251"/>
    <row ht="12" customHeight="1" r="252"/>
    <row ht="12" customHeight="1" r="253"/>
    <row ht="12" customHeight="1" r="254"/>
    <row ht="12" customHeight="1" r="255"/>
    <row ht="12" customHeight="1" r="256"/>
    <row ht="12" customHeight="1" r="257"/>
    <row ht="12" customHeight="1" r="258"/>
    <row ht="12" customHeight="1" r="259"/>
    <row ht="12" customHeight="1" r="260"/>
    <row ht="12" customHeight="1" r="261"/>
    <row ht="12" customHeight="1" r="262"/>
    <row ht="12" customHeight="1" r="263"/>
    <row ht="12" customHeight="1" r="264"/>
    <row ht="12" customHeight="1" r="265"/>
    <row ht="12" customHeight="1" r="266"/>
    <row ht="12" customHeight="1" r="267"/>
    <row ht="12" customHeight="1" r="268"/>
    <row ht="12" customHeight="1" r="269"/>
    <row ht="12" customHeight="1" r="270"/>
    <row ht="12" customHeight="1" r="271"/>
    <row ht="12" customHeight="1" r="272"/>
    <row ht="12" customHeight="1" r="273"/>
    <row ht="12" customHeight="1" r="274"/>
    <row ht="12" customHeight="1" r="275"/>
    <row ht="12" customHeight="1" r="276"/>
    <row ht="12" customHeight="1" r="277"/>
    <row ht="12" customHeight="1" r="278"/>
    <row ht="12" customHeight="1" r="279"/>
    <row ht="12" customHeight="1" r="280"/>
    <row ht="12" customHeight="1" r="281"/>
    <row ht="12" customHeight="1" r="282"/>
    <row ht="12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7" right="0.7" top="1.14375" bottom="1.14375" header="0" footer="0"/>
  <pageSetup orientation="landscape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pane="topLeft" activeCell="G17" sqref="G17"/>
    </sheetView>
  </sheetViews>
  <sheetFormatPr baseColWidth="8" defaultColWidth="12.625" defaultRowHeight="15"/>
  <cols>
    <col min="1" max="1" width="33.875" customWidth="1"/>
    <col min="2" max="2" width="9.875" customWidth="1"/>
    <col min="3" max="3" width="11.75" customWidth="1"/>
    <col min="4" max="4" width="8" customWidth="1"/>
    <col min="5" max="5" width="11.75" customWidth="1"/>
    <col min="6" max="6" width="8.5" customWidth="1"/>
  </cols>
  <sheetData>
    <row ht="21" customHeight="1" r="1" spans="1:5">
      <c r="A1" s="1" t="s">
        <v>0</v>
      </c>
      <c r="B1" s="6"/>
      <c r="C1" s="6"/>
      <c r="D1" s="20"/>
      <c r="E1" s="55"/>
    </row>
    <row ht="13.5" customHeight="1" r="2" spans="1:5">
      <c r="A2" s="9" t="s">
        <v>7</v>
      </c>
      <c r="B2" s="6"/>
      <c r="C2" s="6"/>
      <c r="D2" s="20"/>
      <c r="E2" s="55"/>
    </row>
    <row ht="13.5" customHeight="1" r="3" spans="1:5">
      <c r="A3" s="22"/>
      <c r="B3" s="6"/>
      <c r="C3" s="6"/>
      <c r="D3" s="20"/>
      <c r="E3" s="55"/>
    </row>
    <row ht="13.5" customHeight="1" r="4" spans="1:5">
      <c r="A4" s="23" t="s">
        <v>19</v>
      </c>
      <c r="B4" s="23" t="s">
        <v>20</v>
      </c>
      <c r="C4" s="23" t="s">
        <v>21</v>
      </c>
      <c r="D4" s="25" t="s">
        <v>22</v>
      </c>
      <c r="E4" s="25" t="s">
        <v>23</v>
      </c>
    </row>
    <row ht="13.5" customHeight="1" r="5" spans="1:5">
      <c r="A5" s="49" t="s">
        <v>415</v>
      </c>
      <c r="B5" s="49"/>
      <c r="C5" s="50">
        <v>46.61</v>
      </c>
      <c r="D5" s="56">
        <v>0</v>
      </c>
      <c r="E5" s="57">
        <f>C5*D5</f>
        <v>0</v>
      </c>
    </row>
    <row ht="13.5" customHeight="1" r="6" spans="1:5">
      <c r="A6" s="58" t="s">
        <v>416</v>
      </c>
      <c r="B6" s="58" t="s">
        <v>230</v>
      </c>
      <c r="C6" s="59">
        <v>23.93</v>
      </c>
      <c r="D6" s="56">
        <v>0</v>
      </c>
      <c r="E6" s="57">
        <f>C6*D6</f>
        <v>0</v>
      </c>
    </row>
    <row ht="13.5" customHeight="1" r="7" spans="1:5">
      <c r="A7" s="58" t="s">
        <v>417</v>
      </c>
      <c r="B7" s="58" t="s">
        <v>230</v>
      </c>
      <c r="C7" s="59">
        <v>46.63</v>
      </c>
      <c r="D7" s="56">
        <v>0</v>
      </c>
      <c r="E7" s="57">
        <f>C7*D7</f>
        <v>0</v>
      </c>
    </row>
    <row ht="13.5" customHeight="1" r="8" spans="1:5">
      <c r="A8" s="58" t="s">
        <v>418</v>
      </c>
      <c r="B8" s="58" t="s">
        <v>230</v>
      </c>
      <c r="C8" s="50">
        <v>22.52</v>
      </c>
      <c r="D8" s="56"/>
      <c r="E8" s="57">
        <f>C8*D8</f>
        <v>0</v>
      </c>
    </row>
    <row ht="13.5" customHeight="1" r="9" spans="1:5">
      <c r="A9" s="49" t="s">
        <v>419</v>
      </c>
      <c r="B9" s="49" t="s">
        <v>420</v>
      </c>
      <c r="C9" s="50">
        <v>24.78</v>
      </c>
      <c r="D9" s="56">
        <v>2</v>
      </c>
      <c r="E9" s="57">
        <f>C9*D9</f>
        <v>49.56</v>
      </c>
    </row>
    <row ht="13.5" customHeight="1" r="10" spans="1:5">
      <c r="A10" s="58" t="s">
        <v>421</v>
      </c>
      <c r="B10" s="58" t="s">
        <v>422</v>
      </c>
      <c r="C10" s="59">
        <v>24.6</v>
      </c>
      <c r="D10" s="56"/>
      <c r="E10" s="57">
        <f>C10*D10</f>
        <v>0</v>
      </c>
    </row>
    <row ht="13.5" customHeight="1" r="11" spans="1:5">
      <c r="A11" s="58" t="s">
        <v>423</v>
      </c>
      <c r="B11" s="58" t="s">
        <v>145</v>
      </c>
      <c r="C11" s="59">
        <v>24.36</v>
      </c>
      <c r="D11" s="56">
        <v>0</v>
      </c>
      <c r="E11" s="57">
        <f>C11*D11</f>
        <v>0</v>
      </c>
    </row>
    <row ht="13.5" customHeight="1" r="12" spans="1:5">
      <c r="A12" s="58" t="s">
        <v>424</v>
      </c>
      <c r="B12" s="58" t="s">
        <v>230</v>
      </c>
      <c r="C12" s="59">
        <v>25.06</v>
      </c>
      <c r="D12" s="56">
        <v>0</v>
      </c>
      <c r="E12" s="57">
        <f>C12*D12</f>
        <v>0</v>
      </c>
    </row>
    <row ht="13.5" customHeight="1" r="13" spans="1:5">
      <c r="A13" s="58" t="s">
        <v>425</v>
      </c>
      <c r="B13" s="58" t="s">
        <v>426</v>
      </c>
      <c r="C13" s="59">
        <v>37.9</v>
      </c>
      <c r="D13" s="56">
        <v>0</v>
      </c>
      <c r="E13" s="57">
        <f>C13*D13</f>
        <v>0</v>
      </c>
    </row>
    <row ht="13.5" customHeight="1" r="14" spans="1:5">
      <c r="A14" s="58" t="s">
        <v>427</v>
      </c>
      <c r="B14" s="58" t="s">
        <v>428</v>
      </c>
      <c r="C14" s="59">
        <v>9.48</v>
      </c>
      <c r="D14" s="56"/>
      <c r="E14" s="57">
        <f>C14*D14</f>
        <v>0</v>
      </c>
    </row>
    <row ht="13.5" customHeight="1" r="15" spans="1:5">
      <c r="A15" s="58" t="s">
        <v>429</v>
      </c>
      <c r="B15" s="58" t="s">
        <v>430</v>
      </c>
      <c r="C15" s="59">
        <v>20.26</v>
      </c>
      <c r="D15" s="56">
        <v>0.5</v>
      </c>
      <c r="E15" s="57">
        <f>C15*D15</f>
        <v>10.13</v>
      </c>
    </row>
    <row ht="13.5" customHeight="1" r="16" spans="1:5">
      <c r="A16" s="5" t="s">
        <v>341</v>
      </c>
      <c r="B16" s="5"/>
      <c r="C16" s="5"/>
      <c r="D16" s="24"/>
      <c r="E16" s="60">
        <f>SUM(E5:E15)</f>
        <v>59.69</v>
      </c>
    </row>
    <row ht="12" customHeight="1" r="17"/>
    <row ht="12" customHeight="1" r="18"/>
    <row ht="12" customHeight="1" r="19"/>
    <row ht="12" customHeight="1" r="20"/>
    <row ht="12" customHeight="1" r="21"/>
    <row ht="12" customHeight="1" r="22"/>
    <row ht="12" customHeight="1" r="23"/>
    <row ht="12" customHeight="1" r="24"/>
    <row ht="12" customHeight="1" r="25"/>
    <row ht="12" customHeight="1" r="26"/>
    <row ht="12" customHeight="1" r="27"/>
    <row ht="12" customHeight="1" r="28"/>
    <row ht="12" customHeight="1" r="29"/>
    <row ht="12" customHeight="1" r="30"/>
    <row ht="12" customHeight="1" r="31"/>
    <row ht="12" customHeight="1" r="32"/>
    <row ht="12" customHeight="1" r="33"/>
    <row ht="12" customHeight="1" r="34"/>
    <row ht="12" customHeight="1" r="35"/>
    <row ht="12" customHeight="1" r="36"/>
    <row ht="12" customHeight="1" r="37"/>
    <row ht="12" customHeight="1" r="38"/>
    <row ht="12" customHeight="1" r="39"/>
    <row ht="12" customHeight="1" r="40"/>
    <row ht="12" customHeight="1" r="41"/>
    <row ht="12" customHeight="1" r="42"/>
    <row ht="12" customHeight="1" r="43"/>
    <row ht="12" customHeight="1" r="44"/>
    <row ht="12" customHeight="1" r="45"/>
    <row ht="12" customHeight="1" r="46"/>
    <row ht="12" customHeight="1" r="47"/>
    <row ht="12" customHeight="1" r="48"/>
    <row ht="12" customHeight="1" r="49"/>
    <row ht="12" customHeight="1" r="50"/>
    <row ht="12" customHeight="1" r="51"/>
    <row ht="12" customHeight="1" r="52"/>
    <row ht="12" customHeight="1" r="53"/>
    <row ht="12" customHeight="1" r="54"/>
    <row ht="12" customHeight="1" r="55"/>
    <row ht="12" customHeight="1" r="56"/>
    <row ht="12" customHeight="1" r="57"/>
    <row ht="12" customHeight="1" r="58"/>
    <row ht="12" customHeight="1" r="59"/>
    <row ht="12" customHeight="1" r="60"/>
    <row ht="12" customHeight="1" r="61"/>
    <row ht="12" customHeight="1" r="62"/>
    <row ht="12" customHeight="1" r="63"/>
    <row ht="12" customHeight="1" r="64"/>
    <row ht="12" customHeight="1" r="65"/>
    <row ht="12" customHeight="1" r="66"/>
    <row ht="12" customHeight="1" r="67"/>
    <row ht="12" customHeight="1" r="68"/>
    <row ht="12" customHeight="1" r="69"/>
    <row ht="12" customHeight="1" r="70"/>
    <row ht="12" customHeight="1" r="71"/>
    <row ht="12" customHeight="1" r="72"/>
    <row ht="12" customHeight="1" r="73"/>
    <row ht="12" customHeight="1" r="74"/>
    <row ht="12" customHeight="1" r="75"/>
    <row ht="12" customHeight="1" r="76"/>
    <row ht="12" customHeight="1" r="77"/>
    <row ht="12" customHeight="1" r="78"/>
    <row ht="12" customHeight="1" r="79"/>
    <row ht="12" customHeight="1" r="80"/>
    <row ht="12" customHeight="1" r="81"/>
    <row ht="12" customHeight="1" r="82"/>
    <row ht="12" customHeight="1" r="83"/>
    <row ht="12" customHeight="1" r="84"/>
    <row ht="12" customHeight="1" r="85"/>
    <row ht="12" customHeight="1" r="86"/>
    <row ht="12" customHeight="1" r="87"/>
    <row ht="12" customHeight="1" r="88"/>
    <row ht="12" customHeight="1" r="89"/>
    <row ht="12" customHeight="1" r="90"/>
    <row ht="12" customHeight="1" r="91"/>
    <row ht="12" customHeight="1" r="92"/>
    <row ht="12" customHeight="1" r="93"/>
    <row ht="12" customHeight="1" r="94"/>
    <row ht="12" customHeight="1" r="95"/>
    <row ht="12" customHeight="1" r="96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5.75" customHeight="1" r="221"/>
    <row ht="15.75" customHeight="1" r="222"/>
    <row ht="15.75" customHeight="1" r="223"/>
    <row ht="15.75" customHeight="1" r="224"/>
    <row ht="15.75" customHeight="1" r="225"/>
    <row ht="15.75" customHeight="1" r="226"/>
    <row ht="15.75" customHeight="1" r="227"/>
    <row ht="15.75" customHeight="1" r="228"/>
    <row ht="15.75" customHeight="1" r="229"/>
    <row ht="15.75" customHeight="1" r="230"/>
    <row ht="15.75" customHeight="1" r="231"/>
    <row ht="15.75" customHeight="1" r="232"/>
    <row ht="15.75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70833333333333304" right="0.47013888888888899" top="1.141805555555556" bottom="1.3570833333333301" header="0" footer="0"/>
  <pageSetup orientation="portrait"/>
  <headerFooter>
    <oddFooter>&amp;L&amp;A&amp;R&amp;D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selection pane="topLeft" activeCell="D19" sqref="D19"/>
    </sheetView>
  </sheetViews>
  <sheetFormatPr baseColWidth="8" defaultColWidth="12.625" defaultRowHeight="15"/>
  <cols>
    <col min="1" max="1" width="31.125" customWidth="1"/>
    <col min="2" max="2" width="9.875" customWidth="1"/>
    <col min="3" max="3" width="11.75" customWidth="1"/>
    <col min="4" max="4" width="8" customWidth="1"/>
    <col min="5" max="5" width="11.75" customWidth="1"/>
    <col min="6" max="6" width="8.5" customWidth="1"/>
  </cols>
  <sheetData>
    <row ht="12" customHeight="1" r="1" spans="1:5">
      <c r="A1" s="1" t="s">
        <v>0</v>
      </c>
      <c r="B1" s="6"/>
      <c r="C1" s="6"/>
      <c r="D1" s="20"/>
      <c r="E1" s="55"/>
    </row>
    <row ht="12" customHeight="1" r="2" spans="1:5">
      <c r="A2" s="9" t="s">
        <v>9</v>
      </c>
      <c r="B2" s="6"/>
      <c r="C2" s="6"/>
      <c r="D2" s="20"/>
      <c r="E2" s="55"/>
    </row>
    <row ht="12" customHeight="1" r="3" spans="1:5">
      <c r="A3" s="22"/>
      <c r="B3" s="6"/>
      <c r="C3" s="6"/>
      <c r="D3" s="20"/>
      <c r="E3" s="55"/>
    </row>
    <row ht="12" customHeight="1" r="4" spans="1:5">
      <c r="A4" s="23" t="s">
        <v>19</v>
      </c>
      <c r="B4" s="23" t="s">
        <v>20</v>
      </c>
      <c r="C4" s="23" t="s">
        <v>21</v>
      </c>
      <c r="D4" s="25" t="s">
        <v>22</v>
      </c>
      <c r="E4" s="25" t="s">
        <v>23</v>
      </c>
    </row>
    <row ht="12" customHeight="1" r="5" spans="1:5">
      <c r="A5" s="2" t="s">
        <v>431</v>
      </c>
      <c r="B5" s="2"/>
      <c r="C5" s="2"/>
      <c r="D5" s="61"/>
      <c r="E5" s="61"/>
    </row>
    <row ht="13.5" customHeight="1" r="6" spans="1:5">
      <c r="A6" s="58" t="s">
        <v>432</v>
      </c>
      <c r="B6" s="58" t="s">
        <v>336</v>
      </c>
      <c r="C6" s="59">
        <v>2.34</v>
      </c>
      <c r="D6" s="62"/>
      <c r="E6" s="63">
        <f>C6*D6</f>
        <v>0</v>
      </c>
    </row>
    <row ht="13.5" customHeight="1" r="7" spans="1:5">
      <c r="A7" s="49" t="s">
        <v>433</v>
      </c>
      <c r="B7" s="49" t="s">
        <v>434</v>
      </c>
      <c r="C7" s="59">
        <v>1.29</v>
      </c>
      <c r="D7" s="56">
        <v>0</v>
      </c>
      <c r="E7" s="57">
        <f>C7*D7</f>
        <v>0</v>
      </c>
    </row>
    <row ht="13.5" customHeight="1" r="8" spans="1:5">
      <c r="A8" s="49" t="s">
        <v>435</v>
      </c>
      <c r="B8" s="49" t="s">
        <v>436</v>
      </c>
      <c r="C8" s="59">
        <v>0.92</v>
      </c>
      <c r="D8" s="56"/>
      <c r="E8" s="57">
        <f>C8*D8</f>
        <v>0</v>
      </c>
    </row>
    <row ht="13.5" customHeight="1" r="9" spans="1:5">
      <c r="A9" s="58" t="s">
        <v>437</v>
      </c>
      <c r="B9" s="58" t="s">
        <v>438</v>
      </c>
      <c r="C9" s="59">
        <v>6.24</v>
      </c>
      <c r="D9" s="56">
        <v>0</v>
      </c>
      <c r="E9" s="57">
        <f>C9*D9</f>
        <v>0</v>
      </c>
    </row>
    <row ht="13.5" customHeight="1" r="10" spans="1:5">
      <c r="A10" s="58" t="s">
        <v>439</v>
      </c>
      <c r="B10" s="58" t="s">
        <v>336</v>
      </c>
      <c r="C10" s="59">
        <v>0.21</v>
      </c>
      <c r="D10" s="56">
        <v>6</v>
      </c>
      <c r="E10" s="57">
        <f>C10*D10</f>
        <v>1.26</v>
      </c>
    </row>
    <row ht="13.5" customHeight="1" r="11" spans="1:5">
      <c r="A11" s="58" t="s">
        <v>440</v>
      </c>
      <c r="B11" s="58" t="s">
        <v>441</v>
      </c>
      <c r="C11" s="59">
        <v>0.79</v>
      </c>
      <c r="D11" s="56">
        <v>0</v>
      </c>
      <c r="E11" s="57">
        <f>C11*D11</f>
        <v>0</v>
      </c>
    </row>
    <row ht="13.5" customHeight="1" r="12" spans="1:5">
      <c r="A12" s="58" t="s">
        <v>442</v>
      </c>
      <c r="B12" s="58" t="s">
        <v>336</v>
      </c>
      <c r="C12" s="39">
        <v>2.86</v>
      </c>
      <c r="D12" s="56">
        <v>0</v>
      </c>
      <c r="E12" s="57">
        <f>C12*D12</f>
        <v>0</v>
      </c>
    </row>
    <row ht="13.5" customHeight="1" r="13" spans="1:5">
      <c r="A13" s="58" t="s">
        <v>443</v>
      </c>
      <c r="B13" s="58" t="s">
        <v>444</v>
      </c>
      <c r="C13" s="39">
        <v>1.05</v>
      </c>
      <c r="D13" s="56">
        <v>0</v>
      </c>
      <c r="E13" s="57">
        <f>C13*D13</f>
        <v>0</v>
      </c>
    </row>
    <row ht="13.5" customHeight="1" r="14" spans="1:5">
      <c r="A14" s="58" t="s">
        <v>445</v>
      </c>
      <c r="B14" s="58" t="s">
        <v>336</v>
      </c>
      <c r="C14" s="59">
        <v>3.6</v>
      </c>
      <c r="D14" s="56">
        <v>0</v>
      </c>
      <c r="E14" s="57">
        <f>C14*D14</f>
        <v>0</v>
      </c>
    </row>
    <row ht="13.5" customHeight="1" r="15" spans="1:5">
      <c r="A15" s="58" t="s">
        <v>446</v>
      </c>
      <c r="B15" s="58" t="s">
        <v>336</v>
      </c>
      <c r="C15" s="59">
        <v>1.33</v>
      </c>
      <c r="D15" s="56">
        <v>14</v>
      </c>
      <c r="E15" s="57">
        <f>C15*D15</f>
        <v>18.62</v>
      </c>
    </row>
    <row ht="13.5" customHeight="1" r="16" spans="1:5">
      <c r="A16" s="58" t="s">
        <v>447</v>
      </c>
      <c r="B16" s="58" t="s">
        <v>336</v>
      </c>
      <c r="C16" s="59">
        <v>1.3</v>
      </c>
      <c r="D16" s="56">
        <v>2</v>
      </c>
      <c r="E16" s="57">
        <f>C16*D16</f>
        <v>2.6</v>
      </c>
    </row>
    <row ht="13.5" customHeight="1" r="17" spans="1:5">
      <c r="A17" s="58" t="s">
        <v>448</v>
      </c>
      <c r="B17" s="58" t="s">
        <v>449</v>
      </c>
      <c r="C17" s="59">
        <v>2.46</v>
      </c>
      <c r="D17" s="56">
        <v>0</v>
      </c>
      <c r="E17" s="57">
        <f>C17*D17</f>
        <v>0</v>
      </c>
    </row>
    <row ht="13.5" customHeight="1" r="18" spans="1:5">
      <c r="A18" s="58" t="s">
        <v>450</v>
      </c>
      <c r="B18" s="58" t="s">
        <v>451</v>
      </c>
      <c r="C18" s="59">
        <v>27.26</v>
      </c>
      <c r="D18" s="56">
        <v>0</v>
      </c>
      <c r="E18" s="57">
        <f>C18*D18</f>
        <v>0</v>
      </c>
    </row>
    <row ht="13.5" customHeight="1" r="19" spans="1:5">
      <c r="A19" s="58" t="s">
        <v>452</v>
      </c>
      <c r="B19" s="58" t="s">
        <v>453</v>
      </c>
      <c r="C19" s="59">
        <v>1.09</v>
      </c>
      <c r="D19" s="56">
        <v>3</v>
      </c>
      <c r="E19" s="57">
        <f>C19*D19</f>
        <v>3.27</v>
      </c>
    </row>
    <row ht="13.5" customHeight="1" r="20" spans="1:5">
      <c r="A20" s="58" t="s">
        <v>454</v>
      </c>
      <c r="B20" s="58" t="s">
        <v>455</v>
      </c>
      <c r="C20" s="59">
        <v>2.64</v>
      </c>
      <c r="D20" s="56">
        <v>0</v>
      </c>
      <c r="E20" s="57">
        <f>C20*D20</f>
        <v>0</v>
      </c>
    </row>
    <row ht="13.5" customHeight="1" r="21" spans="1:5">
      <c r="A21" s="58" t="s">
        <v>456</v>
      </c>
      <c r="B21" s="58" t="s">
        <v>457</v>
      </c>
      <c r="C21" s="59">
        <v>22.7</v>
      </c>
      <c r="D21" s="56">
        <v>0</v>
      </c>
      <c r="E21" s="57">
        <f>C21*D21</f>
        <v>0</v>
      </c>
    </row>
    <row ht="13.5" customHeight="1" r="22" spans="1:5">
      <c r="A22" s="64" t="s">
        <v>458</v>
      </c>
      <c r="B22" s="58"/>
      <c r="C22" s="59">
        <v>0</v>
      </c>
      <c r="D22" s="56"/>
      <c r="E22" s="57">
        <f>C22*D22</f>
        <v>0</v>
      </c>
    </row>
    <row ht="13.5" customHeight="1" r="23" spans="1:5">
      <c r="A23" s="58" t="s">
        <v>459</v>
      </c>
      <c r="B23" s="58" t="s">
        <v>336</v>
      </c>
      <c r="C23" s="59">
        <v>0.08</v>
      </c>
      <c r="D23" s="56">
        <v>0</v>
      </c>
      <c r="E23" s="57">
        <f>C23*D23</f>
        <v>0</v>
      </c>
    </row>
    <row ht="13.5" customHeight="1" r="24" spans="1:5">
      <c r="A24" s="58" t="s">
        <v>460</v>
      </c>
      <c r="B24" s="58" t="s">
        <v>336</v>
      </c>
      <c r="C24" s="59">
        <v>0.28</v>
      </c>
      <c r="D24" s="56"/>
      <c r="E24" s="57">
        <f>C24*D24</f>
        <v>0</v>
      </c>
    </row>
    <row ht="13.5" customHeight="1" r="25" spans="1:5">
      <c r="A25" s="58" t="s">
        <v>461</v>
      </c>
      <c r="B25" s="58" t="s">
        <v>336</v>
      </c>
      <c r="C25" s="59">
        <v>0.24</v>
      </c>
      <c r="D25" s="56">
        <v>0</v>
      </c>
      <c r="E25" s="57">
        <f>C25*D25</f>
        <v>0</v>
      </c>
    </row>
    <row ht="13.5" customHeight="1" r="26" spans="1:5">
      <c r="A26" s="58" t="s">
        <v>462</v>
      </c>
      <c r="B26" s="58" t="s">
        <v>336</v>
      </c>
      <c r="C26" s="59">
        <v>0.24</v>
      </c>
      <c r="D26" s="56">
        <v>50</v>
      </c>
      <c r="E26" s="57">
        <f>C26*D26</f>
        <v>12</v>
      </c>
    </row>
    <row ht="13.5" customHeight="1" r="27" spans="1:5">
      <c r="A27" s="58" t="s">
        <v>463</v>
      </c>
      <c r="B27" s="58" t="s">
        <v>336</v>
      </c>
      <c r="C27" s="59">
        <v>4.33</v>
      </c>
      <c r="D27" s="56">
        <v>0</v>
      </c>
      <c r="E27" s="57">
        <f>C27*D27</f>
        <v>0</v>
      </c>
    </row>
    <row ht="13.5" customHeight="1" r="28" spans="1:5">
      <c r="A28" s="58" t="s">
        <v>464</v>
      </c>
      <c r="B28" s="58" t="s">
        <v>465</v>
      </c>
      <c r="C28" s="39">
        <v>0.85</v>
      </c>
      <c r="D28" s="56">
        <v>0</v>
      </c>
      <c r="E28" s="57">
        <f>C28*D28</f>
        <v>0</v>
      </c>
    </row>
    <row ht="13.5" customHeight="1" r="29" spans="1:5">
      <c r="A29" s="58" t="s">
        <v>466</v>
      </c>
      <c r="B29" s="58" t="s">
        <v>467</v>
      </c>
      <c r="C29" s="59">
        <v>1.07</v>
      </c>
      <c r="D29" s="56">
        <v>0</v>
      </c>
      <c r="E29" s="57">
        <f>C29*D29</f>
        <v>0</v>
      </c>
    </row>
    <row ht="13.5" customHeight="1" r="30" spans="1:5">
      <c r="A30" s="58" t="s">
        <v>468</v>
      </c>
      <c r="B30" s="58" t="s">
        <v>336</v>
      </c>
      <c r="C30" s="59">
        <v>1.43</v>
      </c>
      <c r="D30" s="56">
        <v>0</v>
      </c>
      <c r="E30" s="57">
        <f>C30*D30</f>
        <v>0</v>
      </c>
    </row>
    <row ht="13.5" customHeight="1" r="31" spans="1:5">
      <c r="A31" s="58" t="s">
        <v>469</v>
      </c>
      <c r="B31" s="58" t="s">
        <v>453</v>
      </c>
      <c r="C31" s="59">
        <v>4.63</v>
      </c>
      <c r="D31" s="65">
        <v>0</v>
      </c>
      <c r="E31" s="57">
        <f>C31*D31</f>
        <v>0</v>
      </c>
    </row>
    <row ht="13.5" customHeight="1" r="32" spans="1:5">
      <c r="A32" s="15" t="s">
        <v>470</v>
      </c>
      <c r="B32" s="15" t="s">
        <v>471</v>
      </c>
      <c r="C32" s="59">
        <v>15.34</v>
      </c>
      <c r="D32" s="65">
        <v>0</v>
      </c>
      <c r="E32" s="57">
        <f>C32*D32</f>
        <v>0</v>
      </c>
    </row>
    <row ht="13.5" customHeight="1" r="33" spans="1:5">
      <c r="A33" s="5" t="s">
        <v>341</v>
      </c>
      <c r="B33" s="5"/>
      <c r="C33" s="5"/>
      <c r="D33" s="24"/>
      <c r="E33" s="60">
        <f>SUM(E6:E32)</f>
        <v>37.75</v>
      </c>
    </row>
    <row ht="12" customHeight="1" r="34" spans="1:5"/>
    <row ht="12" customHeight="1" r="35" spans="1:5"/>
    <row ht="12" customHeight="1" r="36" spans="1:5"/>
    <row ht="12" customHeight="1" r="37" spans="1:5"/>
    <row ht="12" customHeight="1" r="38" spans="1:5"/>
    <row ht="12" customHeight="1" r="39" spans="1:5"/>
    <row ht="12" customHeight="1" r="40" spans="1:5"/>
    <row ht="12" customHeight="1" r="41" spans="1:5"/>
    <row ht="12" customHeight="1" r="42" spans="1:5"/>
    <row ht="12" customHeight="1" r="43" spans="1:5"/>
    <row ht="12" customHeight="1" r="44" spans="1:5"/>
    <row ht="12" customHeight="1" r="45" spans="1:5"/>
    <row ht="12" customHeight="1" r="46" spans="1:5"/>
    <row ht="12" customHeight="1" r="47" spans="1:5"/>
    <row ht="12" customHeight="1" r="48" spans="1:5"/>
    <row ht="12" customHeight="1" r="49"/>
    <row ht="12" customHeight="1" r="50"/>
    <row ht="12" customHeight="1" r="51"/>
    <row ht="12" customHeight="1" r="52"/>
    <row ht="12" customHeight="1" r="53"/>
    <row ht="12" customHeight="1" r="54"/>
    <row ht="12" customHeight="1" r="55"/>
    <row ht="12" customHeight="1" r="56"/>
    <row ht="12" customHeight="1" r="57"/>
    <row ht="12" customHeight="1" r="58"/>
    <row ht="12" customHeight="1" r="59"/>
    <row ht="12" customHeight="1" r="60"/>
    <row ht="12" customHeight="1" r="61"/>
    <row ht="12" customHeight="1" r="62"/>
    <row ht="12" customHeight="1" r="63"/>
    <row ht="12" customHeight="1" r="64"/>
    <row ht="12" customHeight="1" r="65"/>
    <row ht="12" customHeight="1" r="66"/>
    <row ht="12" customHeight="1" r="67"/>
    <row ht="12" customHeight="1" r="68"/>
    <row ht="12" customHeight="1" r="69"/>
    <row ht="12" customHeight="1" r="70"/>
    <row ht="12" customHeight="1" r="71"/>
    <row ht="12" customHeight="1" r="72"/>
    <row ht="12" customHeight="1" r="73"/>
    <row ht="12" customHeight="1" r="74"/>
    <row ht="12" customHeight="1" r="75"/>
    <row ht="12" customHeight="1" r="76"/>
    <row ht="12" customHeight="1" r="77"/>
    <row ht="12" customHeight="1" r="78"/>
    <row ht="12" customHeight="1" r="79"/>
    <row ht="12" customHeight="1" r="80"/>
    <row ht="12" customHeight="1" r="81"/>
    <row ht="12" customHeight="1" r="82"/>
    <row ht="12" customHeight="1" r="83"/>
    <row ht="12" customHeight="1" r="84"/>
    <row ht="12" customHeight="1" r="85"/>
    <row ht="12" customHeight="1" r="86"/>
    <row ht="12" customHeight="1" r="87"/>
    <row ht="12" customHeight="1" r="88"/>
    <row ht="12" customHeight="1" r="89"/>
    <row ht="12" customHeight="1" r="90"/>
    <row ht="12" customHeight="1" r="91"/>
    <row ht="12" customHeight="1" r="92"/>
    <row ht="12" customHeight="1" r="93"/>
    <row ht="12" customHeight="1" r="94"/>
    <row ht="12" customHeight="1" r="95"/>
    <row ht="12" customHeight="1" r="96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7" right="0.7" top="1.14375" bottom="1.14375" header="0" footer="0"/>
  <pageSetup orientation="portrait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Views>
    <sheetView workbookViewId="0">
      <selection pane="topLeft" activeCell="G37" sqref="G37"/>
    </sheetView>
  </sheetViews>
  <sheetFormatPr baseColWidth="8" defaultColWidth="12.625" defaultRowHeight="15"/>
  <cols>
    <col min="1" max="1" width="33.875" customWidth="1"/>
    <col min="2" max="2" width="8.5" customWidth="1"/>
    <col min="3" max="3" width="11.75" customWidth="1"/>
    <col min="4" max="4" width="8" customWidth="1"/>
    <col min="5" max="5" width="11.75" customWidth="1"/>
    <col min="6" max="6" width="8.5" customWidth="1"/>
  </cols>
  <sheetData>
    <row ht="21" customHeight="1" r="1" spans="1:5">
      <c r="A1" s="1"/>
      <c r="B1" s="6"/>
      <c r="C1" s="66"/>
      <c r="D1" s="7"/>
      <c r="E1" s="66"/>
    </row>
    <row ht="13.5" customHeight="1" r="2" spans="1:5">
      <c r="A2" s="9" t="s">
        <v>10</v>
      </c>
      <c r="B2" s="6"/>
      <c r="C2" s="66"/>
      <c r="D2" s="7"/>
      <c r="E2" s="66"/>
    </row>
    <row ht="13.5" customHeight="1" r="3" spans="1:5">
      <c r="A3" s="22"/>
      <c r="B3" s="6"/>
      <c r="C3" s="66"/>
      <c r="D3" s="7"/>
      <c r="E3" s="66"/>
    </row>
    <row ht="13.5" customHeight="1" r="4" spans="1:5">
      <c r="A4" s="23" t="s">
        <v>19</v>
      </c>
      <c r="B4" s="23" t="s">
        <v>20</v>
      </c>
      <c r="C4" s="44" t="s">
        <v>21</v>
      </c>
      <c r="D4" s="23" t="s">
        <v>22</v>
      </c>
      <c r="E4" s="44" t="s">
        <v>23</v>
      </c>
    </row>
    <row ht="13.5" customHeight="1" r="5" spans="1:5">
      <c r="A5" s="102" t="s">
        <v>472</v>
      </c>
      <c r="B5" s="102" t="s">
        <v>145</v>
      </c>
      <c r="C5" s="109">
        <v>6.41</v>
      </c>
      <c r="D5" s="110"/>
      <c r="E5" s="109">
        <f>C5*D5</f>
        <v>0</v>
      </c>
    </row>
    <row ht="13.5" customHeight="1" r="6" spans="1:5">
      <c r="A6" s="102" t="s">
        <v>473</v>
      </c>
      <c r="B6" s="102">
        <v>2.27</v>
      </c>
      <c r="C6" s="109">
        <v>15.03</v>
      </c>
      <c r="D6" s="110">
        <v>1</v>
      </c>
      <c r="E6" s="109">
        <f>C6*D6</f>
        <v>15.03</v>
      </c>
    </row>
    <row ht="13.5" customHeight="1" r="7" spans="1:5">
      <c r="A7" s="15" t="s">
        <v>474</v>
      </c>
      <c r="B7" s="15" t="s">
        <v>475</v>
      </c>
      <c r="C7" s="39">
        <v>16.69</v>
      </c>
      <c r="D7" s="110"/>
      <c r="E7" s="109">
        <f>C7*D7</f>
        <v>0</v>
      </c>
    </row>
    <row ht="13.5" customHeight="1" r="8" spans="1:5">
      <c r="A8" s="28" t="s">
        <v>476</v>
      </c>
      <c r="B8" s="15"/>
      <c r="C8" s="39"/>
      <c r="D8" s="110"/>
      <c r="E8" s="109">
        <f>C8*D8</f>
        <v>0</v>
      </c>
    </row>
    <row ht="13.5" customHeight="1" r="9" spans="1:5">
      <c r="A9" s="15" t="s">
        <v>477</v>
      </c>
      <c r="B9" s="15" t="s">
        <v>478</v>
      </c>
      <c r="C9" s="39">
        <v>12.6</v>
      </c>
      <c r="D9" s="110">
        <v>3</v>
      </c>
      <c r="E9" s="109">
        <f>C9*D9</f>
        <v>37.8</v>
      </c>
    </row>
    <row ht="13.5" customHeight="1" r="10" spans="1:5">
      <c r="A10" s="15" t="s">
        <v>479</v>
      </c>
      <c r="B10" s="15" t="s">
        <v>478</v>
      </c>
      <c r="C10" s="39">
        <v>9.8</v>
      </c>
      <c r="D10" s="110">
        <v>0</v>
      </c>
      <c r="E10" s="109">
        <f>C10*D10</f>
        <v>0</v>
      </c>
    </row>
    <row ht="13.5" customHeight="1" r="11" spans="1:5">
      <c r="A11" s="15" t="s">
        <v>480</v>
      </c>
      <c r="B11" s="15" t="s">
        <v>98</v>
      </c>
      <c r="C11" s="39">
        <v>9.86</v>
      </c>
      <c r="D11" s="110"/>
      <c r="E11" s="109">
        <f>C11*D11</f>
        <v>0</v>
      </c>
    </row>
    <row ht="13.5" customHeight="1" r="12" spans="1:5">
      <c r="A12" s="15" t="s">
        <v>481</v>
      </c>
      <c r="B12" s="15" t="s">
        <v>336</v>
      </c>
      <c r="C12" s="39">
        <v>0.47</v>
      </c>
      <c r="D12" s="110"/>
      <c r="E12" s="109">
        <f>C12*D12</f>
        <v>0</v>
      </c>
    </row>
    <row ht="13.5" customHeight="1" r="13" spans="1:5">
      <c r="A13" s="28" t="s">
        <v>482</v>
      </c>
      <c r="B13" s="15"/>
      <c r="C13" s="39"/>
      <c r="D13" s="110"/>
      <c r="E13" s="109">
        <f>C13*D13</f>
        <v>0</v>
      </c>
    </row>
    <row ht="13.5" customHeight="1" r="14" spans="1:5">
      <c r="A14" s="15" t="s">
        <v>483</v>
      </c>
      <c r="B14" s="15" t="s">
        <v>98</v>
      </c>
      <c r="C14" s="39">
        <v>6.28</v>
      </c>
      <c r="D14" s="110"/>
      <c r="E14" s="109">
        <f>C14*D14</f>
        <v>0</v>
      </c>
    </row>
    <row ht="13.5" customHeight="1" r="15" spans="1:5">
      <c r="A15" s="15" t="s">
        <v>484</v>
      </c>
      <c r="B15" s="15" t="s">
        <v>478</v>
      </c>
      <c r="C15" s="39">
        <v>9.68</v>
      </c>
      <c r="D15" s="110"/>
      <c r="E15" s="109">
        <f>C15*D15</f>
        <v>0</v>
      </c>
    </row>
    <row ht="13.5" customHeight="1" r="16" spans="1:5">
      <c r="A16" s="15" t="s">
        <v>485</v>
      </c>
      <c r="B16" s="15" t="s">
        <v>98</v>
      </c>
      <c r="C16" s="39">
        <v>7.3</v>
      </c>
      <c r="D16" s="110"/>
      <c r="E16" s="109">
        <f>C16*D16</f>
        <v>0</v>
      </c>
    </row>
    <row ht="13.5" customHeight="1" r="17" spans="1:5">
      <c r="A17" s="15" t="s">
        <v>486</v>
      </c>
      <c r="B17" s="15" t="s">
        <v>98</v>
      </c>
      <c r="C17" s="39">
        <v>3.53</v>
      </c>
      <c r="D17" s="110"/>
      <c r="E17" s="109">
        <f>C17*D17</f>
        <v>0</v>
      </c>
    </row>
    <row ht="20.25" customHeight="1" r="18" spans="1:5">
      <c r="A18" s="15" t="s">
        <v>487</v>
      </c>
      <c r="B18" s="15" t="s">
        <v>336</v>
      </c>
      <c r="C18" s="39">
        <v>1.25</v>
      </c>
      <c r="D18" s="110"/>
      <c r="E18" s="109">
        <f>C18*D18</f>
        <v>0</v>
      </c>
    </row>
    <row ht="13.5" customHeight="1" r="19" spans="1:5">
      <c r="A19" s="15" t="s">
        <v>488</v>
      </c>
      <c r="B19" s="15" t="s">
        <v>336</v>
      </c>
      <c r="C19" s="39">
        <v>0.91</v>
      </c>
      <c r="D19" s="110"/>
      <c r="E19" s="109">
        <f>C19*D19</f>
        <v>0</v>
      </c>
    </row>
    <row ht="13.5" customHeight="1" r="20" spans="1:5">
      <c r="A20" s="15" t="s">
        <v>489</v>
      </c>
      <c r="B20" s="15" t="s">
        <v>336</v>
      </c>
      <c r="C20" s="39">
        <v>0.68</v>
      </c>
      <c r="D20" s="110">
        <v>0</v>
      </c>
      <c r="E20" s="109">
        <f>C20*D20</f>
        <v>0</v>
      </c>
    </row>
    <row ht="13.5" customHeight="1" r="21" spans="1:5">
      <c r="A21" s="15" t="s">
        <v>490</v>
      </c>
      <c r="B21" s="15" t="s">
        <v>230</v>
      </c>
      <c r="C21" s="39">
        <v>18</v>
      </c>
      <c r="D21" s="110"/>
      <c r="E21" s="109">
        <f>C21*D21</f>
        <v>0</v>
      </c>
    </row>
    <row ht="13.5" customHeight="1" r="22" spans="1:5">
      <c r="A22" s="28" t="s">
        <v>491</v>
      </c>
      <c r="B22" s="15"/>
      <c r="C22" s="39"/>
      <c r="D22" s="110"/>
      <c r="E22" s="109">
        <f>C22*D22</f>
        <v>0</v>
      </c>
    </row>
    <row ht="13.5" customHeight="1" r="23" spans="1:5">
      <c r="A23" s="31" t="s">
        <v>492</v>
      </c>
      <c r="B23" s="15" t="s">
        <v>98</v>
      </c>
      <c r="C23" s="39">
        <v>13.89</v>
      </c>
      <c r="D23" s="110"/>
      <c r="E23" s="109">
        <f>C23*D23</f>
        <v>0</v>
      </c>
    </row>
    <row ht="13.5" customHeight="1" r="24" spans="1:5">
      <c r="A24" s="15" t="s">
        <v>493</v>
      </c>
      <c r="B24" s="15" t="s">
        <v>29</v>
      </c>
      <c r="C24" s="39">
        <v>9.21</v>
      </c>
      <c r="D24" s="110"/>
      <c r="E24" s="109">
        <f>C24*D24</f>
        <v>0</v>
      </c>
    </row>
    <row ht="13.5" customHeight="1" r="25" spans="1:5">
      <c r="A25" s="15" t="s">
        <v>494</v>
      </c>
      <c r="B25" s="15" t="s">
        <v>495</v>
      </c>
      <c r="C25" s="39">
        <v>10.99</v>
      </c>
      <c r="D25" s="110"/>
      <c r="E25" s="109">
        <f>C25*D25</f>
        <v>0</v>
      </c>
    </row>
    <row ht="13.5" customHeight="1" r="26" spans="1:5">
      <c r="A26" s="28" t="s">
        <v>496</v>
      </c>
      <c r="B26" s="15"/>
      <c r="C26" s="39"/>
      <c r="D26" s="110"/>
      <c r="E26" s="109">
        <f>C26*D26</f>
        <v>0</v>
      </c>
    </row>
    <row ht="13.5" customHeight="1" r="27" spans="1:5">
      <c r="A27" s="15" t="s">
        <v>497</v>
      </c>
      <c r="B27" s="15" t="s">
        <v>98</v>
      </c>
      <c r="C27" s="39">
        <v>6.22</v>
      </c>
      <c r="D27" s="110"/>
      <c r="E27" s="109">
        <f>C27*D27</f>
        <v>0</v>
      </c>
    </row>
    <row ht="13.5" customHeight="1" r="28" spans="1:5">
      <c r="A28" s="15" t="s">
        <v>498</v>
      </c>
      <c r="B28" s="15" t="s">
        <v>98</v>
      </c>
      <c r="C28" s="39">
        <v>8.52</v>
      </c>
      <c r="D28" s="110"/>
      <c r="E28" s="109">
        <f>C28*D28</f>
        <v>0</v>
      </c>
    </row>
    <row ht="13.5" customHeight="1" r="29" spans="1:5">
      <c r="A29" s="15" t="s">
        <v>499</v>
      </c>
      <c r="B29" s="15" t="s">
        <v>98</v>
      </c>
      <c r="C29" s="39" t="s">
        <v>500</v>
      </c>
      <c r="D29" s="110"/>
      <c r="E29" s="109"/>
    </row>
    <row ht="13.5" customHeight="1" r="30" spans="1:5">
      <c r="A30" s="15" t="s">
        <v>501</v>
      </c>
      <c r="B30" s="15" t="s">
        <v>478</v>
      </c>
      <c r="C30" s="39">
        <v>6.3</v>
      </c>
      <c r="D30" s="110"/>
      <c r="E30" s="109">
        <f>C30*D30</f>
        <v>0</v>
      </c>
    </row>
    <row ht="13.5" customHeight="1" r="31" spans="1:5">
      <c r="A31" s="15" t="s">
        <v>502</v>
      </c>
      <c r="B31" s="15" t="s">
        <v>98</v>
      </c>
      <c r="C31" s="39">
        <v>8.96</v>
      </c>
      <c r="D31" s="110"/>
      <c r="E31" s="109">
        <f>C31*D31</f>
        <v>0</v>
      </c>
    </row>
    <row ht="13.5" customHeight="1" r="32" spans="1:5">
      <c r="A32" s="15" t="s">
        <v>503</v>
      </c>
      <c r="B32" s="15" t="s">
        <v>98</v>
      </c>
      <c r="C32" s="39">
        <v>5.32</v>
      </c>
      <c r="D32" s="110"/>
      <c r="E32" s="109">
        <f>C32*D32</f>
        <v>0</v>
      </c>
    </row>
    <row ht="13.5" customHeight="1" r="33" spans="1:5">
      <c r="A33" s="15" t="s">
        <v>504</v>
      </c>
      <c r="B33" s="15" t="s">
        <v>98</v>
      </c>
      <c r="C33" s="39">
        <v>10.99</v>
      </c>
      <c r="D33" s="110"/>
      <c r="E33" s="109">
        <f>C33*D33</f>
        <v>0</v>
      </c>
    </row>
    <row ht="13.5" customHeight="1" r="34" spans="1:5">
      <c r="A34" s="15" t="s">
        <v>505</v>
      </c>
      <c r="B34" s="15" t="s">
        <v>506</v>
      </c>
      <c r="C34" s="39">
        <v>7.15</v>
      </c>
      <c r="D34" s="110">
        <v>4</v>
      </c>
      <c r="E34" s="109">
        <f>C34*D34</f>
        <v>28.6</v>
      </c>
    </row>
    <row ht="13.5" customHeight="1" r="35" spans="1:5">
      <c r="A35" s="15" t="s">
        <v>507</v>
      </c>
      <c r="B35" s="15" t="s">
        <v>98</v>
      </c>
      <c r="C35" s="39">
        <v>7.27</v>
      </c>
      <c r="D35" s="110"/>
      <c r="E35" s="109">
        <f>C35*D35</f>
        <v>0</v>
      </c>
    </row>
    <row ht="13.5" customHeight="1" r="36" spans="1:5">
      <c r="A36" s="15" t="s">
        <v>508</v>
      </c>
      <c r="B36" s="15" t="s">
        <v>98</v>
      </c>
      <c r="C36" s="39">
        <v>6.7</v>
      </c>
      <c r="D36" s="110"/>
      <c r="E36" s="109">
        <f>C36*D36</f>
        <v>0</v>
      </c>
    </row>
    <row ht="13.5" customHeight="1" r="37" spans="1:5">
      <c r="A37" s="15" t="s">
        <v>509</v>
      </c>
      <c r="B37" s="15" t="s">
        <v>98</v>
      </c>
      <c r="C37" s="39">
        <v>11.3</v>
      </c>
      <c r="D37" s="110"/>
      <c r="E37" s="109">
        <f>C37*D37</f>
        <v>0</v>
      </c>
    </row>
    <row ht="13.5" customHeight="1" r="38" spans="1:5">
      <c r="A38" s="15" t="s">
        <v>510</v>
      </c>
      <c r="B38" s="15" t="s">
        <v>478</v>
      </c>
      <c r="C38" s="39">
        <v>22.08</v>
      </c>
      <c r="D38" s="110"/>
      <c r="E38" s="109">
        <f>C38*D38</f>
        <v>0</v>
      </c>
    </row>
    <row ht="13.5" customHeight="1" r="39" spans="1:5">
      <c r="A39" s="15" t="s">
        <v>511</v>
      </c>
      <c r="B39" s="15" t="s">
        <v>98</v>
      </c>
      <c r="C39" s="39">
        <v>3.84</v>
      </c>
      <c r="D39" s="110"/>
      <c r="E39" s="109">
        <f>C39*D39</f>
        <v>0</v>
      </c>
    </row>
    <row ht="13.5" customHeight="1" r="40" spans="1:5">
      <c r="A40" s="28" t="s">
        <v>512</v>
      </c>
      <c r="B40" s="15"/>
      <c r="C40" s="39"/>
      <c r="D40" s="110"/>
      <c r="E40" s="109">
        <f>C40*D40</f>
        <v>0</v>
      </c>
    </row>
    <row ht="13.5" customHeight="1" r="41" spans="1:5">
      <c r="A41" s="15" t="s">
        <v>513</v>
      </c>
      <c r="B41" s="15" t="s">
        <v>98</v>
      </c>
      <c r="C41" s="39">
        <v>7.41</v>
      </c>
      <c r="D41" s="110"/>
      <c r="E41" s="109">
        <f>C41*D41</f>
        <v>0</v>
      </c>
    </row>
    <row ht="13.5" customHeight="1" r="42" spans="1:5">
      <c r="A42" s="15" t="s">
        <v>514</v>
      </c>
      <c r="B42" s="15" t="s">
        <v>515</v>
      </c>
      <c r="C42" s="39">
        <v>10</v>
      </c>
      <c r="D42" s="110"/>
      <c r="E42" s="109">
        <f>C42*D42</f>
        <v>0</v>
      </c>
    </row>
    <row ht="13.5" customHeight="1" r="43" spans="1:5">
      <c r="A43" s="40" t="s">
        <v>516</v>
      </c>
      <c r="B43" s="15"/>
      <c r="C43" s="39"/>
      <c r="D43" s="110"/>
      <c r="E43" s="109">
        <f>C43*D43</f>
        <v>0</v>
      </c>
    </row>
    <row ht="13.5" customHeight="1" r="44" spans="1:5">
      <c r="A44" s="15" t="s">
        <v>517</v>
      </c>
      <c r="B44" s="15" t="s">
        <v>518</v>
      </c>
      <c r="C44" s="39">
        <v>6.72</v>
      </c>
      <c r="D44" s="110">
        <v>5</v>
      </c>
      <c r="E44" s="109">
        <f>C44*D44</f>
        <v>33.6</v>
      </c>
    </row>
    <row ht="13.5" customHeight="1" r="45" spans="1:5">
      <c r="A45" s="15" t="s">
        <v>519</v>
      </c>
      <c r="B45" s="15" t="s">
        <v>36</v>
      </c>
      <c r="C45" s="39">
        <v>17.53</v>
      </c>
      <c r="D45" s="110"/>
      <c r="E45" s="109">
        <f>C45*D45</f>
        <v>0</v>
      </c>
    </row>
    <row ht="13.5" customHeight="1" r="46" spans="1:5">
      <c r="A46" s="15" t="s">
        <v>520</v>
      </c>
      <c r="B46" s="15" t="s">
        <v>36</v>
      </c>
      <c r="C46" s="39">
        <v>6.01</v>
      </c>
      <c r="D46" s="110"/>
      <c r="E46" s="109">
        <f>C46*D46</f>
        <v>0</v>
      </c>
    </row>
    <row ht="13.5" customHeight="1" r="47" spans="1:5">
      <c r="A47" s="15" t="s">
        <v>521</v>
      </c>
      <c r="B47" s="15" t="s">
        <v>29</v>
      </c>
      <c r="C47" s="39">
        <v>18.15</v>
      </c>
      <c r="D47" s="110"/>
      <c r="E47" s="109">
        <f>C47*D47</f>
        <v>0</v>
      </c>
    </row>
    <row ht="13.5" customHeight="1" r="48" spans="1:5">
      <c r="A48" s="15" t="s">
        <v>522</v>
      </c>
      <c r="B48" s="15" t="s">
        <v>29</v>
      </c>
      <c r="C48" s="39">
        <v>19.88</v>
      </c>
      <c r="D48" s="110"/>
      <c r="E48" s="109">
        <f>C48*D48</f>
        <v>0</v>
      </c>
    </row>
    <row ht="13.5" customHeight="1" r="49" spans="1:5">
      <c r="A49" s="15" t="s">
        <v>523</v>
      </c>
      <c r="B49" s="15" t="s">
        <v>29</v>
      </c>
      <c r="C49" s="39">
        <v>15.89</v>
      </c>
      <c r="D49" s="110"/>
      <c r="E49" s="109">
        <f>C49*D49</f>
        <v>0</v>
      </c>
    </row>
    <row ht="13.5" customHeight="1" r="50" spans="1:5">
      <c r="A50" s="5" t="s">
        <v>341</v>
      </c>
      <c r="B50" s="15"/>
      <c r="C50" s="39"/>
      <c r="D50" s="23"/>
      <c r="E50" s="67">
        <f>SUM(E13:E49)</f>
        <v>62.2</v>
      </c>
    </row>
    <row ht="12" customHeight="1" r="51" spans="1:5">
      <c r="D51" s="68"/>
    </row>
    <row ht="12" customHeight="1" r="52" spans="1:5">
      <c r="D52" s="68"/>
    </row>
    <row ht="12" customHeight="1" r="53" spans="1:5">
      <c r="D53" s="68"/>
    </row>
    <row ht="12" customHeight="1" r="54" spans="1:5">
      <c r="D54" s="68"/>
    </row>
    <row ht="12" customHeight="1" r="55" spans="1:5">
      <c r="D55" s="68"/>
    </row>
    <row ht="12" customHeight="1" r="56" spans="1:5">
      <c r="D56" s="68"/>
    </row>
    <row ht="12" customHeight="1" r="57" spans="1:5">
      <c r="D57" s="68"/>
    </row>
    <row ht="12" customHeight="1" r="58" spans="1:5">
      <c r="D58" s="68"/>
    </row>
    <row ht="12" customHeight="1" r="59" spans="1:5">
      <c r="D59" s="68"/>
    </row>
    <row ht="12" customHeight="1" r="60" spans="1:5">
      <c r="D60" s="68"/>
    </row>
    <row ht="12" customHeight="1" r="61" spans="1:5">
      <c r="D61" s="68"/>
    </row>
    <row ht="12" customHeight="1" r="62" spans="1:5">
      <c r="D62" s="68"/>
    </row>
    <row ht="12" customHeight="1" r="63" spans="1:5">
      <c r="D63" s="68"/>
    </row>
    <row ht="12" customHeight="1" r="64" spans="1:5">
      <c r="D64" s="68"/>
    </row>
    <row ht="12" customHeight="1" r="65" spans="4:4">
      <c r="D65" s="68"/>
    </row>
    <row ht="12" customHeight="1" r="66" spans="4:4">
      <c r="D66" s="68"/>
    </row>
    <row ht="12" customHeight="1" r="67" spans="4:4">
      <c r="D67" s="68"/>
    </row>
    <row ht="12" customHeight="1" r="68" spans="4:4">
      <c r="D68" s="68"/>
    </row>
    <row ht="12" customHeight="1" r="69" spans="4:4">
      <c r="D69" s="68"/>
    </row>
    <row ht="12" customHeight="1" r="70" spans="4:4">
      <c r="D70" s="68"/>
    </row>
    <row ht="12" customHeight="1" r="71" spans="4:4">
      <c r="D71" s="68"/>
    </row>
    <row ht="12" customHeight="1" r="72" spans="4:4">
      <c r="D72" s="68"/>
    </row>
    <row ht="12" customHeight="1" r="73" spans="4:4">
      <c r="D73" s="68"/>
    </row>
    <row ht="12" customHeight="1" r="74" spans="4:4">
      <c r="D74" s="68"/>
    </row>
    <row ht="12" customHeight="1" r="75" spans="4:4">
      <c r="D75" s="68"/>
    </row>
    <row ht="12" customHeight="1" r="76" spans="4:4">
      <c r="D76" s="68"/>
    </row>
    <row ht="12" customHeight="1" r="77" spans="4:4">
      <c r="D77" s="68"/>
    </row>
    <row ht="12" customHeight="1" r="78" spans="4:4">
      <c r="D78" s="68"/>
    </row>
    <row ht="12" customHeight="1" r="79" spans="4:4">
      <c r="D79" s="68"/>
    </row>
    <row ht="12" customHeight="1" r="80" spans="4:4">
      <c r="D80" s="68"/>
    </row>
    <row ht="12" customHeight="1" r="81" spans="4:4">
      <c r="D81" s="68"/>
    </row>
    <row ht="12" customHeight="1" r="82" spans="4:4">
      <c r="D82" s="68"/>
    </row>
    <row ht="12" customHeight="1" r="83" spans="4:4">
      <c r="D83" s="68"/>
    </row>
    <row ht="12" customHeight="1" r="84" spans="4:4">
      <c r="D84" s="68"/>
    </row>
    <row ht="12" customHeight="1" r="85" spans="4:4">
      <c r="D85" s="68"/>
    </row>
    <row ht="12" customHeight="1" r="86" spans="4:4">
      <c r="D86" s="68"/>
    </row>
    <row ht="12" customHeight="1" r="87" spans="4:4">
      <c r="D87" s="68"/>
    </row>
    <row ht="12" customHeight="1" r="88" spans="4:4">
      <c r="D88" s="68"/>
    </row>
    <row ht="12" customHeight="1" r="89" spans="4:4">
      <c r="D89" s="68"/>
    </row>
    <row ht="12" customHeight="1" r="90" spans="4:4">
      <c r="D90" s="68"/>
    </row>
    <row ht="12" customHeight="1" r="91" spans="4:4">
      <c r="D91" s="68"/>
    </row>
    <row ht="12" customHeight="1" r="92" spans="4:4">
      <c r="D92" s="68"/>
    </row>
    <row ht="12" customHeight="1" r="93" spans="4:4">
      <c r="D93" s="68"/>
    </row>
    <row ht="12" customHeight="1" r="94" spans="4:4">
      <c r="D94" s="68"/>
    </row>
    <row ht="12" customHeight="1" r="95" spans="4:4">
      <c r="D95" s="68"/>
    </row>
    <row ht="12" customHeight="1" r="96" spans="4:4">
      <c r="D96" s="68"/>
    </row>
    <row ht="12" customHeight="1" r="97" spans="4:4">
      <c r="D97" s="68"/>
    </row>
    <row ht="12" customHeight="1" r="98" spans="4:4">
      <c r="D98" s="68"/>
    </row>
    <row ht="12" customHeight="1" r="99" spans="4:4">
      <c r="D99" s="68"/>
    </row>
    <row ht="12" customHeight="1" r="100" spans="4:4">
      <c r="D100" s="68"/>
    </row>
    <row ht="12" customHeight="1" r="101" spans="4:4">
      <c r="D101" s="68"/>
    </row>
    <row ht="12" customHeight="1" r="102" spans="4:4">
      <c r="D102" s="68"/>
    </row>
    <row ht="12" customHeight="1" r="103" spans="4:4">
      <c r="D103" s="68"/>
    </row>
    <row ht="12" customHeight="1" r="104" spans="4:4">
      <c r="D104" s="68"/>
    </row>
    <row ht="12" customHeight="1" r="105" spans="4:4">
      <c r="D105" s="68"/>
    </row>
    <row ht="12" customHeight="1" r="106" spans="4:4">
      <c r="D106" s="68"/>
    </row>
    <row ht="12" customHeight="1" r="107" spans="4:4">
      <c r="D107" s="68"/>
    </row>
    <row ht="12" customHeight="1" r="108" spans="4:4">
      <c r="D108" s="68"/>
    </row>
    <row ht="12" customHeight="1" r="109" spans="4:4">
      <c r="D109" s="68"/>
    </row>
    <row ht="12" customHeight="1" r="110" spans="4:4">
      <c r="D110" s="68"/>
    </row>
    <row ht="12" customHeight="1" r="111" spans="4:4">
      <c r="D111" s="68"/>
    </row>
    <row ht="12" customHeight="1" r="112" spans="4:4">
      <c r="D112" s="68"/>
    </row>
    <row ht="12" customHeight="1" r="113" spans="4:4">
      <c r="D113" s="68"/>
    </row>
    <row ht="12" customHeight="1" r="114" spans="4:4">
      <c r="D114" s="68"/>
    </row>
    <row ht="12" customHeight="1" r="115" spans="4:4">
      <c r="D115" s="68"/>
    </row>
    <row ht="12" customHeight="1" r="116" spans="4:4">
      <c r="D116" s="68"/>
    </row>
    <row ht="12" customHeight="1" r="117" spans="4:4">
      <c r="D117" s="68"/>
    </row>
    <row ht="12" customHeight="1" r="118" spans="4:4">
      <c r="D118" s="68"/>
    </row>
    <row ht="12" customHeight="1" r="119" spans="4:4">
      <c r="D119" s="68"/>
    </row>
    <row ht="12" customHeight="1" r="120" spans="4:4">
      <c r="D120" s="68"/>
    </row>
    <row ht="12" customHeight="1" r="121" spans="4:4">
      <c r="D121" s="68"/>
    </row>
    <row ht="12" customHeight="1" r="122" spans="4:4">
      <c r="D122" s="68"/>
    </row>
    <row ht="12" customHeight="1" r="123" spans="4:4">
      <c r="D123" s="68"/>
    </row>
    <row ht="12" customHeight="1" r="124" spans="4:4">
      <c r="D124" s="68"/>
    </row>
    <row ht="12" customHeight="1" r="125" spans="4:4">
      <c r="D125" s="68"/>
    </row>
    <row ht="12" customHeight="1" r="126" spans="4:4">
      <c r="D126" s="68"/>
    </row>
    <row ht="12" customHeight="1" r="127" spans="4:4">
      <c r="D127" s="68"/>
    </row>
    <row ht="12" customHeight="1" r="128" spans="4:4">
      <c r="D128" s="68"/>
    </row>
    <row ht="12" customHeight="1" r="129" spans="4:4">
      <c r="D129" s="68"/>
    </row>
    <row ht="12" customHeight="1" r="130" spans="4:4">
      <c r="D130" s="68"/>
    </row>
    <row ht="12" customHeight="1" r="131" spans="4:4">
      <c r="D131" s="68"/>
    </row>
    <row ht="12" customHeight="1" r="132" spans="4:4">
      <c r="D132" s="68"/>
    </row>
    <row ht="12" customHeight="1" r="133" spans="4:4">
      <c r="D133" s="68"/>
    </row>
    <row ht="12" customHeight="1" r="134" spans="4:4">
      <c r="D134" s="68"/>
    </row>
    <row ht="12" customHeight="1" r="135" spans="4:4">
      <c r="D135" s="68"/>
    </row>
    <row ht="12" customHeight="1" r="136" spans="4:4">
      <c r="D136" s="68"/>
    </row>
    <row ht="12" customHeight="1" r="137" spans="4:4">
      <c r="D137" s="68"/>
    </row>
    <row ht="12" customHeight="1" r="138" spans="4:4">
      <c r="D138" s="68"/>
    </row>
    <row ht="12" customHeight="1" r="139" spans="4:4">
      <c r="D139" s="68"/>
    </row>
    <row ht="12" customHeight="1" r="140" spans="4:4">
      <c r="D140" s="68"/>
    </row>
    <row ht="12" customHeight="1" r="141" spans="4:4">
      <c r="D141" s="68"/>
    </row>
    <row ht="12" customHeight="1" r="142" spans="4:4">
      <c r="D142" s="68"/>
    </row>
    <row ht="12" customHeight="1" r="143" spans="4:4">
      <c r="D143" s="68"/>
    </row>
    <row ht="12" customHeight="1" r="144" spans="4:4">
      <c r="D144" s="68"/>
    </row>
    <row ht="12" customHeight="1" r="145" spans="4:4">
      <c r="D145" s="68"/>
    </row>
    <row ht="12" customHeight="1" r="146" spans="4:4">
      <c r="D146" s="68"/>
    </row>
    <row ht="12" customHeight="1" r="147" spans="4:4">
      <c r="D147" s="68"/>
    </row>
    <row ht="12" customHeight="1" r="148" spans="4:4">
      <c r="D148" s="68"/>
    </row>
    <row ht="12" customHeight="1" r="149" spans="4:4">
      <c r="D149" s="68"/>
    </row>
    <row ht="12" customHeight="1" r="150" spans="4:4">
      <c r="D150" s="68"/>
    </row>
    <row ht="12" customHeight="1" r="151" spans="4:4">
      <c r="D151" s="68"/>
    </row>
    <row ht="12" customHeight="1" r="152" spans="4:4">
      <c r="D152" s="68"/>
    </row>
    <row ht="12" customHeight="1" r="153" spans="4:4">
      <c r="D153" s="68"/>
    </row>
    <row ht="12" customHeight="1" r="154" spans="4:4">
      <c r="D154" s="68"/>
    </row>
    <row ht="12" customHeight="1" r="155" spans="4:4">
      <c r="D155" s="68"/>
    </row>
    <row ht="12" customHeight="1" r="156" spans="4:4">
      <c r="D156" s="68"/>
    </row>
    <row ht="12" customHeight="1" r="157" spans="4:4">
      <c r="D157" s="68"/>
    </row>
    <row ht="12" customHeight="1" r="158" spans="4:4">
      <c r="D158" s="68"/>
    </row>
    <row ht="12" customHeight="1" r="159" spans="4:4">
      <c r="D159" s="68"/>
    </row>
    <row ht="12" customHeight="1" r="160" spans="4:4">
      <c r="D160" s="68"/>
    </row>
    <row ht="12" customHeight="1" r="161" spans="4:4">
      <c r="D161" s="68"/>
    </row>
    <row ht="12" customHeight="1" r="162" spans="4:4">
      <c r="D162" s="68"/>
    </row>
    <row ht="12" customHeight="1" r="163" spans="4:4">
      <c r="D163" s="68"/>
    </row>
    <row ht="12" customHeight="1" r="164" spans="4:4">
      <c r="D164" s="68"/>
    </row>
    <row ht="12" customHeight="1" r="165" spans="4:4">
      <c r="D165" s="68"/>
    </row>
    <row ht="12" customHeight="1" r="166" spans="4:4">
      <c r="D166" s="68"/>
    </row>
    <row ht="12" customHeight="1" r="167" spans="4:4">
      <c r="D167" s="68"/>
    </row>
    <row ht="12" customHeight="1" r="168" spans="4:4">
      <c r="D168" s="68"/>
    </row>
    <row ht="12" customHeight="1" r="169" spans="4:4">
      <c r="D169" s="68"/>
    </row>
    <row ht="12" customHeight="1" r="170" spans="4:4">
      <c r="D170" s="68"/>
    </row>
    <row ht="12" customHeight="1" r="171" spans="4:4">
      <c r="D171" s="68"/>
    </row>
    <row ht="12" customHeight="1" r="172" spans="4:4">
      <c r="D172" s="68"/>
    </row>
    <row ht="12" customHeight="1" r="173" spans="4:4">
      <c r="D173" s="68"/>
    </row>
    <row ht="12" customHeight="1" r="174" spans="4:4">
      <c r="D174" s="68"/>
    </row>
    <row ht="12" customHeight="1" r="175" spans="4:4">
      <c r="D175" s="68"/>
    </row>
    <row ht="12" customHeight="1" r="176" spans="4:4">
      <c r="D176" s="68"/>
    </row>
    <row ht="12" customHeight="1" r="177" spans="4:4">
      <c r="D177" s="68"/>
    </row>
    <row ht="12" customHeight="1" r="178" spans="4:4">
      <c r="D178" s="68"/>
    </row>
    <row ht="12" customHeight="1" r="179" spans="4:4">
      <c r="D179" s="68"/>
    </row>
    <row ht="12" customHeight="1" r="180" spans="4:4">
      <c r="D180" s="68"/>
    </row>
    <row ht="12" customHeight="1" r="181" spans="4:4">
      <c r="D181" s="68"/>
    </row>
    <row ht="12" customHeight="1" r="182" spans="4:4">
      <c r="D182" s="68"/>
    </row>
    <row ht="12" customHeight="1" r="183" spans="4:4">
      <c r="D183" s="68"/>
    </row>
    <row ht="12" customHeight="1" r="184" spans="4:4">
      <c r="D184" s="68"/>
    </row>
    <row ht="12" customHeight="1" r="185" spans="4:4">
      <c r="D185" s="68"/>
    </row>
    <row ht="12" customHeight="1" r="186" spans="4:4">
      <c r="D186" s="68"/>
    </row>
    <row ht="12" customHeight="1" r="187" spans="4:4">
      <c r="D187" s="68"/>
    </row>
    <row ht="12" customHeight="1" r="188" spans="4:4">
      <c r="D188" s="68"/>
    </row>
    <row ht="12" customHeight="1" r="189" spans="4:4">
      <c r="D189" s="68"/>
    </row>
    <row ht="12" customHeight="1" r="190" spans="4:4">
      <c r="D190" s="68"/>
    </row>
    <row ht="12" customHeight="1" r="191" spans="4:4">
      <c r="D191" s="68"/>
    </row>
    <row ht="12" customHeight="1" r="192" spans="4:4">
      <c r="D192" s="68"/>
    </row>
    <row ht="12" customHeight="1" r="193" spans="4:4">
      <c r="D193" s="68"/>
    </row>
    <row ht="12" customHeight="1" r="194" spans="4:4">
      <c r="D194" s="68"/>
    </row>
    <row ht="12" customHeight="1" r="195" spans="4:4">
      <c r="D195" s="68"/>
    </row>
    <row ht="12" customHeight="1" r="196" spans="4:4">
      <c r="D196" s="68"/>
    </row>
    <row ht="12" customHeight="1" r="197" spans="4:4">
      <c r="D197" s="68"/>
    </row>
    <row ht="12" customHeight="1" r="198" spans="4:4">
      <c r="D198" s="68"/>
    </row>
    <row ht="12" customHeight="1" r="199" spans="4:4">
      <c r="D199" s="68"/>
    </row>
    <row ht="12" customHeight="1" r="200" spans="4:4">
      <c r="D200" s="68"/>
    </row>
    <row ht="12" customHeight="1" r="201" spans="4:4">
      <c r="D201" s="68"/>
    </row>
    <row ht="12" customHeight="1" r="202" spans="4:4">
      <c r="D202" s="68"/>
    </row>
    <row ht="12" customHeight="1" r="203" spans="4:4">
      <c r="D203" s="68"/>
    </row>
    <row ht="12" customHeight="1" r="204" spans="4:4">
      <c r="D204" s="68"/>
    </row>
    <row ht="12" customHeight="1" r="205" spans="4:4">
      <c r="D205" s="68"/>
    </row>
    <row ht="12" customHeight="1" r="206" spans="4:4">
      <c r="D206" s="68"/>
    </row>
    <row ht="12" customHeight="1" r="207" spans="4:4">
      <c r="D207" s="68"/>
    </row>
    <row ht="12" customHeight="1" r="208" spans="4:4">
      <c r="D208" s="68"/>
    </row>
    <row ht="12" customHeight="1" r="209" spans="4:4">
      <c r="D209" s="68"/>
    </row>
    <row ht="12" customHeight="1" r="210" spans="4:4">
      <c r="D210" s="68"/>
    </row>
    <row ht="12" customHeight="1" r="211" spans="4:4">
      <c r="D211" s="68"/>
    </row>
    <row ht="12" customHeight="1" r="212" spans="4:4">
      <c r="D212" s="68"/>
    </row>
    <row ht="12" customHeight="1" r="213" spans="4:4">
      <c r="D213" s="68"/>
    </row>
    <row ht="12" customHeight="1" r="214" spans="4:4">
      <c r="D214" s="68"/>
    </row>
    <row ht="12" customHeight="1" r="215" spans="4:4">
      <c r="D215" s="68"/>
    </row>
    <row ht="12" customHeight="1" r="216" spans="4:4">
      <c r="D216" s="68"/>
    </row>
    <row ht="12" customHeight="1" r="217" spans="4:4">
      <c r="D217" s="68"/>
    </row>
    <row ht="12" customHeight="1" r="218" spans="4:4">
      <c r="D218" s="68"/>
    </row>
    <row ht="12" customHeight="1" r="219" spans="4:4">
      <c r="D219" s="68"/>
    </row>
    <row ht="12" customHeight="1" r="220" spans="4:4">
      <c r="D220" s="68"/>
    </row>
    <row ht="12" customHeight="1" r="221" spans="4:4">
      <c r="D221" s="68"/>
    </row>
    <row ht="12" customHeight="1" r="222" spans="4:4">
      <c r="D222" s="68"/>
    </row>
    <row ht="12" customHeight="1" r="223" spans="4:4">
      <c r="D223" s="68"/>
    </row>
    <row ht="12" customHeight="1" r="224" spans="4:4">
      <c r="D224" s="68"/>
    </row>
    <row ht="12" customHeight="1" r="225" spans="4:4">
      <c r="D225" s="68"/>
    </row>
    <row ht="12" customHeight="1" r="226" spans="4:4">
      <c r="D226" s="68"/>
    </row>
    <row ht="12" customHeight="1" r="227" spans="4:4">
      <c r="D227" s="68"/>
    </row>
    <row ht="12" customHeight="1" r="228" spans="4:4">
      <c r="D228" s="68"/>
    </row>
    <row ht="12" customHeight="1" r="229" spans="4:4">
      <c r="D229" s="68"/>
    </row>
    <row ht="12" customHeight="1" r="230" spans="4:4">
      <c r="D230" s="68"/>
    </row>
    <row ht="12" customHeight="1" r="231" spans="4:4">
      <c r="D231" s="68"/>
    </row>
    <row ht="12" customHeight="1" r="232" spans="4:4">
      <c r="D232" s="68"/>
    </row>
    <row ht="12" customHeight="1" r="233" spans="4:4">
      <c r="D233" s="68"/>
    </row>
    <row ht="12" customHeight="1" r="234" spans="4:4">
      <c r="D234" s="68"/>
    </row>
    <row ht="12" customHeight="1" r="235" spans="4:4">
      <c r="D235" s="68"/>
    </row>
    <row ht="12" customHeight="1" r="236" spans="4:4">
      <c r="D236" s="68"/>
    </row>
    <row ht="12" customHeight="1" r="237" spans="4:4">
      <c r="D237" s="68"/>
    </row>
    <row ht="12" customHeight="1" r="238" spans="4:4">
      <c r="D238" s="68"/>
    </row>
    <row ht="12" customHeight="1" r="239" spans="4:4">
      <c r="D239" s="68"/>
    </row>
    <row ht="12" customHeight="1" r="240" spans="4:4">
      <c r="D240" s="68"/>
    </row>
    <row ht="12" customHeight="1" r="241" spans="4:4">
      <c r="D241" s="68"/>
    </row>
    <row ht="12" customHeight="1" r="242" spans="4:4">
      <c r="D242" s="68"/>
    </row>
    <row ht="12" customHeight="1" r="243" spans="4:4">
      <c r="D243" s="68"/>
    </row>
    <row ht="12" customHeight="1" r="244" spans="4:4">
      <c r="D244" s="68"/>
    </row>
    <row ht="12" customHeight="1" r="245" spans="4:4">
      <c r="D245" s="68"/>
    </row>
    <row ht="12" customHeight="1" r="246" spans="4:4">
      <c r="D246" s="68"/>
    </row>
    <row ht="12" customHeight="1" r="247" spans="4:4">
      <c r="D247" s="68"/>
    </row>
    <row ht="12" customHeight="1" r="248" spans="4:4">
      <c r="D248" s="68"/>
    </row>
    <row ht="12" customHeight="1" r="249" spans="4:4">
      <c r="D249" s="68"/>
    </row>
    <row ht="12" customHeight="1" r="250" spans="4:4">
      <c r="D250" s="68"/>
    </row>
    <row ht="15.75" customHeight="1" r="251" spans="4:4"/>
    <row ht="15.75" customHeight="1" r="252" spans="4:4"/>
    <row ht="15.75" customHeight="1" r="253" spans="4:4"/>
    <row ht="15.75" customHeight="1" r="254" spans="4:4"/>
    <row ht="15.75" customHeight="1" r="255" spans="4:4"/>
    <row ht="15.75" customHeight="1" r="256" spans="4:4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45" right="0.44013888888888902" top="1.141805555555556" bottom="1.3570833333333301" header="0" footer="0"/>
  <pageSetup orientation="portrait"/>
  <headerFooter>
    <oddFooter>&amp;L&amp;A&amp;R&amp;D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selection pane="topLeft" activeCell="D80" sqref="D80"/>
    </sheetView>
  </sheetViews>
  <sheetFormatPr baseColWidth="8" defaultColWidth="12.625" defaultRowHeight="15"/>
  <cols>
    <col min="1" max="1" width="33.875" customWidth="1"/>
    <col min="2" max="2" width="9.875" customWidth="1"/>
    <col min="3" max="3" width="8.75" customWidth="1"/>
    <col min="4" max="4" width="9.875" customWidth="1"/>
    <col min="5" max="5" width="11.75" customWidth="1"/>
    <col min="6" max="25" width="17" customWidth="1"/>
  </cols>
  <sheetData>
    <row ht="21" customHeight="1" r="1" spans="1:5">
      <c r="A1" s="1" t="s">
        <v>0</v>
      </c>
      <c r="B1" s="6"/>
      <c r="C1" s="6"/>
      <c r="D1" s="7"/>
      <c r="E1" s="69"/>
    </row>
    <row ht="13.5" customHeight="1" r="2" spans="1:5">
      <c r="A2" s="9" t="s">
        <v>8</v>
      </c>
      <c r="B2" s="6"/>
      <c r="C2" s="6"/>
      <c r="D2" s="7"/>
      <c r="E2" s="69"/>
    </row>
    <row ht="13.5" customHeight="1" r="3" spans="1:5">
      <c r="A3" s="22"/>
      <c r="B3" s="6"/>
      <c r="C3" s="6"/>
      <c r="D3" s="7"/>
      <c r="E3" s="69"/>
    </row>
    <row ht="13.5" customHeight="1" r="4" spans="1:5">
      <c r="A4" s="23" t="s">
        <v>19</v>
      </c>
      <c r="B4" s="23" t="s">
        <v>20</v>
      </c>
      <c r="C4" s="23" t="s">
        <v>21</v>
      </c>
      <c r="D4" s="44" t="s">
        <v>22</v>
      </c>
      <c r="E4" s="44" t="s">
        <v>23</v>
      </c>
    </row>
    <row ht="13.5" customHeight="1" r="5" spans="1:5">
      <c r="A5" s="101" t="s">
        <v>524</v>
      </c>
      <c r="B5" s="102"/>
      <c r="C5" s="109"/>
      <c r="D5" s="110"/>
      <c r="E5" s="108"/>
    </row>
    <row ht="13.5" customHeight="1" r="6" spans="1:5">
      <c r="A6" s="15" t="s">
        <v>525</v>
      </c>
      <c r="B6" s="15" t="s">
        <v>526</v>
      </c>
      <c r="C6" s="39">
        <v>6.05</v>
      </c>
      <c r="D6" s="110">
        <v>0</v>
      </c>
      <c r="E6" s="39">
        <f>C6*D6</f>
        <v>0</v>
      </c>
    </row>
    <row ht="13.5" customHeight="1" r="7" spans="1:5">
      <c r="A7" s="15" t="s">
        <v>527</v>
      </c>
      <c r="B7" s="15" t="s">
        <v>336</v>
      </c>
      <c r="C7" s="39">
        <v>2.28</v>
      </c>
      <c r="D7" s="110">
        <v>0</v>
      </c>
      <c r="E7" s="39">
        <f>C7*D7</f>
        <v>0</v>
      </c>
    </row>
    <row ht="13.5" customHeight="1" r="8" spans="1:5">
      <c r="A8" s="15" t="s">
        <v>528</v>
      </c>
      <c r="B8" s="15" t="s">
        <v>529</v>
      </c>
      <c r="C8" s="39">
        <v>1.34</v>
      </c>
      <c r="D8" s="110">
        <v>0</v>
      </c>
      <c r="E8" s="39">
        <f>C8*D8</f>
        <v>0</v>
      </c>
    </row>
    <row ht="13.5" customHeight="1" r="9" spans="1:5">
      <c r="A9" s="15" t="s">
        <v>530</v>
      </c>
      <c r="B9" s="15" t="s">
        <v>531</v>
      </c>
      <c r="C9" s="39">
        <v>18.07</v>
      </c>
      <c r="D9" s="110">
        <v>0</v>
      </c>
      <c r="E9" s="39">
        <f>C9*D9</f>
        <v>0</v>
      </c>
    </row>
    <row ht="13.5" customHeight="1" r="10" spans="1:5">
      <c r="A10" s="15" t="s">
        <v>532</v>
      </c>
      <c r="B10" s="15" t="s">
        <v>533</v>
      </c>
      <c r="C10" s="39">
        <v>22.94</v>
      </c>
      <c r="D10" s="110">
        <v>0</v>
      </c>
      <c r="E10" s="39">
        <f>C10*D10</f>
        <v>0</v>
      </c>
    </row>
    <row ht="13.5" customHeight="1" r="11" spans="1:5">
      <c r="A11" s="15" t="s">
        <v>534</v>
      </c>
      <c r="B11" s="15" t="s">
        <v>535</v>
      </c>
      <c r="C11" s="39">
        <v>7.4</v>
      </c>
      <c r="D11" s="110">
        <v>0</v>
      </c>
      <c r="E11" s="39">
        <f>C11*D11</f>
        <v>0</v>
      </c>
    </row>
    <row ht="13.5" customHeight="1" r="12" spans="1:5">
      <c r="A12" s="28" t="s">
        <v>536</v>
      </c>
      <c r="B12" s="15"/>
      <c r="C12" s="39"/>
      <c r="D12" s="110"/>
      <c r="E12" s="39">
        <f>C12*D12</f>
        <v>0</v>
      </c>
    </row>
    <row ht="13.5" customHeight="1" r="13" spans="1:5">
      <c r="A13" s="15" t="s">
        <v>537</v>
      </c>
      <c r="B13" s="15" t="s">
        <v>538</v>
      </c>
      <c r="C13" s="39">
        <v>11.76</v>
      </c>
      <c r="D13" s="110"/>
      <c r="E13" s="39">
        <f>C13*D13</f>
        <v>0</v>
      </c>
    </row>
    <row ht="13.5" customHeight="1" r="14" spans="1:5">
      <c r="A14" s="15" t="s">
        <v>539</v>
      </c>
      <c r="B14" s="15" t="s">
        <v>540</v>
      </c>
      <c r="C14" s="39">
        <v>36.98</v>
      </c>
      <c r="D14" s="111">
        <v>1</v>
      </c>
      <c r="E14" s="39">
        <f>C14*D14</f>
        <v>36.98</v>
      </c>
    </row>
    <row ht="13.5" customHeight="1" r="15" spans="1:5">
      <c r="A15" s="15" t="s">
        <v>541</v>
      </c>
      <c r="B15" s="15" t="s">
        <v>542</v>
      </c>
      <c r="C15" s="39">
        <v>17.53</v>
      </c>
      <c r="D15" s="110">
        <v>0</v>
      </c>
      <c r="E15" s="39">
        <f>C15*D15</f>
        <v>0</v>
      </c>
    </row>
    <row ht="13.5" customHeight="1" r="16" spans="1:5">
      <c r="A16" s="15" t="s">
        <v>543</v>
      </c>
      <c r="B16" s="15" t="s">
        <v>544</v>
      </c>
      <c r="C16" s="39">
        <v>19.03</v>
      </c>
      <c r="D16" s="110">
        <v>0.5</v>
      </c>
      <c r="E16" s="39">
        <f>C16*D16</f>
        <v>9.515</v>
      </c>
    </row>
    <row ht="13.5" customHeight="1" r="17" spans="1:5">
      <c r="A17" s="28" t="s">
        <v>545</v>
      </c>
      <c r="B17" s="15"/>
      <c r="C17" s="39"/>
      <c r="D17" s="110"/>
      <c r="E17" s="39">
        <f>C17*D17</f>
        <v>0</v>
      </c>
    </row>
    <row ht="13.5" customHeight="1" r="18" spans="1:5">
      <c r="A18" s="15" t="s">
        <v>546</v>
      </c>
      <c r="B18" s="15" t="s">
        <v>29</v>
      </c>
      <c r="C18" s="39">
        <v>8.64</v>
      </c>
      <c r="D18" s="110">
        <v>2</v>
      </c>
      <c r="E18" s="39">
        <f>C18*D18</f>
        <v>17.28</v>
      </c>
    </row>
    <row ht="13.5" customHeight="1" r="19" spans="1:5">
      <c r="A19" s="15" t="s">
        <v>547</v>
      </c>
      <c r="B19" s="15" t="s">
        <v>29</v>
      </c>
      <c r="C19" s="39">
        <v>6.38</v>
      </c>
      <c r="D19" s="110">
        <v>0</v>
      </c>
      <c r="E19" s="39">
        <f>C19*D19</f>
        <v>0</v>
      </c>
    </row>
    <row ht="13.5" customHeight="1" r="20" spans="1:5">
      <c r="A20" s="15" t="s">
        <v>548</v>
      </c>
      <c r="B20" s="15" t="s">
        <v>549</v>
      </c>
      <c r="C20" s="39">
        <v>6.68</v>
      </c>
      <c r="D20" s="110">
        <v>0</v>
      </c>
      <c r="E20" s="39">
        <f>C20*D20</f>
        <v>0</v>
      </c>
    </row>
    <row ht="13.5" customHeight="1" r="21" spans="1:5">
      <c r="A21" s="15" t="s">
        <v>550</v>
      </c>
      <c r="B21" s="15" t="s">
        <v>29</v>
      </c>
      <c r="C21" s="39"/>
      <c r="D21" s="110">
        <v>0</v>
      </c>
      <c r="E21" s="39"/>
    </row>
    <row ht="13.5" customHeight="1" r="22" spans="1:5">
      <c r="A22" s="15" t="s">
        <v>551</v>
      </c>
      <c r="B22" s="15" t="s">
        <v>29</v>
      </c>
      <c r="C22" s="39">
        <v>3.97</v>
      </c>
      <c r="D22" s="110">
        <v>0</v>
      </c>
      <c r="E22" s="39">
        <f>C22*D22</f>
        <v>0</v>
      </c>
    </row>
    <row ht="13.5" customHeight="1" r="23" spans="1:5">
      <c r="A23" s="15" t="s">
        <v>552</v>
      </c>
      <c r="B23" s="15" t="s">
        <v>553</v>
      </c>
      <c r="C23" s="39">
        <v>4.95</v>
      </c>
      <c r="D23" s="110">
        <v>5</v>
      </c>
      <c r="E23" s="39">
        <f>C23*D23</f>
        <v>24.75</v>
      </c>
    </row>
    <row ht="13.5" customHeight="1" r="24" spans="1:5">
      <c r="A24" s="28" t="s">
        <v>554</v>
      </c>
      <c r="B24" s="15"/>
      <c r="C24" s="39"/>
      <c r="D24" s="110"/>
      <c r="E24" s="39">
        <f>C24*D24</f>
        <v>0</v>
      </c>
    </row>
    <row ht="13.5" customHeight="1" r="25" spans="1:5">
      <c r="A25" s="15" t="s">
        <v>555</v>
      </c>
      <c r="B25" s="15" t="s">
        <v>29</v>
      </c>
      <c r="C25" s="39">
        <v>2.47</v>
      </c>
      <c r="D25" s="110"/>
      <c r="E25" s="39"/>
    </row>
    <row ht="13.5" customHeight="1" r="26" spans="1:5">
      <c r="A26" s="15" t="s">
        <v>556</v>
      </c>
      <c r="B26" s="15" t="s">
        <v>61</v>
      </c>
      <c r="C26" s="39">
        <v>3.31</v>
      </c>
      <c r="D26" s="110">
        <v>0</v>
      </c>
      <c r="E26" s="39">
        <f>C26*D26</f>
        <v>0</v>
      </c>
    </row>
    <row ht="13.5" customHeight="1" r="27" spans="1:5">
      <c r="A27" s="15" t="s">
        <v>557</v>
      </c>
      <c r="B27" s="15" t="s">
        <v>61</v>
      </c>
      <c r="C27" s="39">
        <v>4.98</v>
      </c>
      <c r="D27" s="110">
        <v>0</v>
      </c>
      <c r="E27" s="39">
        <f>C27*D27</f>
        <v>0</v>
      </c>
    </row>
    <row ht="13.5" customHeight="1" r="28" spans="1:5">
      <c r="A28" s="15" t="s">
        <v>558</v>
      </c>
      <c r="B28" s="15" t="s">
        <v>230</v>
      </c>
      <c r="C28" s="39">
        <v>39.94</v>
      </c>
      <c r="D28" s="110">
        <v>0</v>
      </c>
      <c r="E28" s="39">
        <f>C28*D28</f>
        <v>0</v>
      </c>
    </row>
    <row ht="13.5" customHeight="1" r="29" spans="1:5">
      <c r="A29" s="15" t="s">
        <v>559</v>
      </c>
      <c r="B29" s="15" t="s">
        <v>145</v>
      </c>
      <c r="C29" s="39">
        <v>7.08</v>
      </c>
      <c r="D29" s="110">
        <v>0</v>
      </c>
      <c r="E29" s="39">
        <f>C29*D29</f>
        <v>0</v>
      </c>
    </row>
    <row ht="13.5" customHeight="1" r="30" spans="1:5">
      <c r="A30" s="15" t="s">
        <v>560</v>
      </c>
      <c r="B30" s="15" t="s">
        <v>29</v>
      </c>
      <c r="C30" s="39"/>
      <c r="D30" s="110">
        <v>0</v>
      </c>
      <c r="E30" s="39"/>
    </row>
    <row ht="13.5" customHeight="1" r="31" spans="1:5">
      <c r="A31" s="15" t="s">
        <v>561</v>
      </c>
      <c r="B31" s="15" t="s">
        <v>61</v>
      </c>
      <c r="C31" s="39">
        <v>6.32</v>
      </c>
      <c r="D31" s="110">
        <v>6</v>
      </c>
      <c r="E31" s="39">
        <f>C31*D31</f>
        <v>37.92</v>
      </c>
    </row>
    <row ht="13.5" customHeight="1" r="32" spans="1:5">
      <c r="A32" s="28" t="s">
        <v>562</v>
      </c>
      <c r="B32" s="15"/>
      <c r="C32" s="39"/>
      <c r="D32" s="110"/>
      <c r="E32" s="39">
        <f>C32*D32</f>
        <v>0</v>
      </c>
    </row>
    <row ht="13.5" customHeight="1" r="33" spans="1:26">
      <c r="A33" s="15" t="s">
        <v>563</v>
      </c>
      <c r="B33" s="15" t="s">
        <v>564</v>
      </c>
      <c r="C33" s="39">
        <v>17.33</v>
      </c>
      <c r="D33" s="110">
        <v>0</v>
      </c>
      <c r="E33" s="39">
        <f>C33*D33</f>
        <v>0</v>
      </c>
    </row>
    <row ht="13.5" customHeight="1" r="34" spans="1:26">
      <c r="A34" s="15" t="s">
        <v>565</v>
      </c>
      <c r="B34" s="15" t="s">
        <v>566</v>
      </c>
      <c r="C34" s="39">
        <v>15.21</v>
      </c>
      <c r="D34" s="110">
        <v>0</v>
      </c>
      <c r="E34" s="39">
        <f>C34*D34</f>
        <v>0</v>
      </c>
    </row>
    <row ht="13.5" customHeight="1" r="35" spans="1:26">
      <c r="A35" s="15" t="s">
        <v>567</v>
      </c>
      <c r="B35" s="15" t="s">
        <v>230</v>
      </c>
      <c r="C35" s="39">
        <v>12.55</v>
      </c>
      <c r="D35" s="110">
        <v>0</v>
      </c>
      <c r="E35" s="39">
        <f>C35*D35</f>
        <v>0</v>
      </c>
    </row>
    <row ht="13.5" customHeight="1" r="36" spans="1:26">
      <c r="A36" s="15" t="s">
        <v>568</v>
      </c>
      <c r="B36" s="15" t="s">
        <v>569</v>
      </c>
      <c r="C36" s="39">
        <v>12.75</v>
      </c>
      <c r="D36" s="111">
        <v>0.5</v>
      </c>
      <c r="E36" s="39">
        <f>C36*D36</f>
        <v>6.375</v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ht="13.5" customHeight="1" r="37" spans="1:26">
      <c r="A37" s="15" t="s">
        <v>570</v>
      </c>
      <c r="B37" s="15" t="s">
        <v>230</v>
      </c>
      <c r="C37" s="39">
        <v>29.21</v>
      </c>
      <c r="D37" s="110">
        <v>0</v>
      </c>
      <c r="E37" s="39">
        <f>C37*D37</f>
        <v>0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ht="13.5" customHeight="1" r="38" spans="1:26">
      <c r="A38" s="15" t="s">
        <v>571</v>
      </c>
      <c r="B38" s="15" t="s">
        <v>540</v>
      </c>
      <c r="C38" s="39">
        <v>30.49</v>
      </c>
      <c r="D38" s="110">
        <v>4</v>
      </c>
      <c r="E38" s="39">
        <f>C38*D38</f>
        <v>121.96</v>
      </c>
    </row>
    <row ht="13.5" customHeight="1" r="39" spans="1:26">
      <c r="A39" s="28" t="s">
        <v>572</v>
      </c>
      <c r="B39" s="15"/>
      <c r="C39" s="39"/>
      <c r="D39" s="110"/>
      <c r="E39" s="39">
        <f>C39*D39</f>
        <v>0</v>
      </c>
    </row>
    <row ht="13.5" customHeight="1" r="40" spans="1:26">
      <c r="A40" s="15" t="s">
        <v>42</v>
      </c>
      <c r="B40" s="15" t="s">
        <v>400</v>
      </c>
      <c r="C40" s="39">
        <v>5.53</v>
      </c>
      <c r="D40" s="110">
        <v>0</v>
      </c>
      <c r="E40" s="39">
        <f>C40*D40</f>
        <v>0</v>
      </c>
    </row>
    <row ht="13.5" customHeight="1" r="41" spans="1:26">
      <c r="A41" s="15" t="s">
        <v>573</v>
      </c>
      <c r="B41" s="15" t="s">
        <v>574</v>
      </c>
      <c r="C41" s="39">
        <v>14.58</v>
      </c>
      <c r="D41" s="110">
        <v>0</v>
      </c>
      <c r="E41" s="39">
        <f>C41*D41</f>
        <v>0</v>
      </c>
    </row>
    <row ht="13.5" customHeight="1" r="42" spans="1:26">
      <c r="A42" s="15" t="s">
        <v>575</v>
      </c>
      <c r="B42" s="15" t="s">
        <v>576</v>
      </c>
      <c r="C42" s="39">
        <v>13.37</v>
      </c>
      <c r="D42" s="110">
        <v>0</v>
      </c>
      <c r="E42" s="39">
        <f>C42*D42</f>
        <v>0</v>
      </c>
    </row>
    <row ht="13.5" customHeight="1" r="43" spans="1:26">
      <c r="A43" s="15" t="s">
        <v>577</v>
      </c>
      <c r="B43" s="15" t="s">
        <v>578</v>
      </c>
      <c r="C43" s="39">
        <v>3.94</v>
      </c>
      <c r="D43" s="110"/>
      <c r="E43" s="39">
        <f>C43*D43</f>
        <v>0</v>
      </c>
    </row>
    <row ht="13.5" customHeight="1" r="44" spans="1:26">
      <c r="A44" s="15" t="s">
        <v>579</v>
      </c>
      <c r="B44" s="15" t="s">
        <v>29</v>
      </c>
      <c r="C44" s="39">
        <v>3.94</v>
      </c>
      <c r="D44" s="110">
        <v>8</v>
      </c>
      <c r="E44" s="39">
        <f>C44*D44</f>
        <v>31.52</v>
      </c>
    </row>
    <row ht="13.5" customHeight="1" r="45" spans="1:26">
      <c r="A45" s="15" t="s">
        <v>580</v>
      </c>
      <c r="B45" s="15" t="s">
        <v>540</v>
      </c>
      <c r="C45" s="39">
        <v>23.81</v>
      </c>
      <c r="D45" s="110"/>
      <c r="E45" s="39">
        <f>C45*D45</f>
        <v>0</v>
      </c>
    </row>
    <row ht="13.5" customHeight="1" r="46" spans="1:26">
      <c r="A46" s="15" t="s">
        <v>581</v>
      </c>
      <c r="B46" s="15" t="s">
        <v>230</v>
      </c>
      <c r="C46" s="39">
        <v>13.01</v>
      </c>
      <c r="D46" s="110">
        <v>0</v>
      </c>
      <c r="E46" s="39">
        <f>C46*D46</f>
        <v>0</v>
      </c>
    </row>
    <row ht="13.5" customHeight="1" r="47" spans="1:26">
      <c r="A47" s="15" t="s">
        <v>582</v>
      </c>
      <c r="B47" s="15" t="s">
        <v>583</v>
      </c>
      <c r="C47" s="39">
        <v>2.56</v>
      </c>
      <c r="D47" s="110"/>
      <c r="E47" s="39">
        <f>C47*D47</f>
        <v>0</v>
      </c>
    </row>
    <row ht="13.5" customHeight="1" r="48" spans="1:26">
      <c r="A48" s="15" t="s">
        <v>584</v>
      </c>
      <c r="B48" s="15" t="s">
        <v>585</v>
      </c>
      <c r="C48" s="39">
        <v>12.35</v>
      </c>
      <c r="D48" s="110">
        <v>0</v>
      </c>
      <c r="E48" s="39">
        <f>C48*D48</f>
        <v>0</v>
      </c>
    </row>
    <row ht="13.5" customHeight="1" r="49" spans="1:5">
      <c r="A49" s="28" t="s">
        <v>586</v>
      </c>
      <c r="B49" s="15"/>
      <c r="C49" s="39"/>
      <c r="D49" s="110"/>
      <c r="E49" s="39">
        <f>C49*D49</f>
        <v>0</v>
      </c>
    </row>
    <row ht="13.5" customHeight="1" r="50" spans="1:5">
      <c r="A50" s="15" t="s">
        <v>587</v>
      </c>
      <c r="B50" s="15" t="s">
        <v>588</v>
      </c>
      <c r="C50" s="39">
        <v>2.85</v>
      </c>
      <c r="D50" s="110">
        <v>0</v>
      </c>
      <c r="E50" s="39">
        <f>C50*D50</f>
        <v>0</v>
      </c>
    </row>
    <row ht="13.5" customHeight="1" r="51" spans="1:5">
      <c r="A51" s="15" t="s">
        <v>589</v>
      </c>
      <c r="B51" s="15" t="s">
        <v>590</v>
      </c>
      <c r="C51" s="39">
        <v>4.76</v>
      </c>
      <c r="D51" s="110">
        <v>0</v>
      </c>
      <c r="E51" s="39">
        <f>C51*D51</f>
        <v>0</v>
      </c>
    </row>
    <row ht="13.5" customHeight="1" r="52" spans="1:5">
      <c r="A52" s="15" t="s">
        <v>591</v>
      </c>
      <c r="B52" s="15" t="s">
        <v>592</v>
      </c>
      <c r="C52" s="39">
        <v>4.54</v>
      </c>
      <c r="D52" s="110">
        <v>0</v>
      </c>
      <c r="E52" s="39">
        <f>C52*D52</f>
        <v>0</v>
      </c>
    </row>
    <row ht="13.5" customHeight="1" r="53" spans="1:5">
      <c r="A53" s="15" t="s">
        <v>593</v>
      </c>
      <c r="B53" s="15" t="s">
        <v>594</v>
      </c>
      <c r="C53" s="39">
        <v>16.39</v>
      </c>
      <c r="D53" s="110">
        <v>0</v>
      </c>
      <c r="E53" s="39">
        <f>C53*D53</f>
        <v>0</v>
      </c>
    </row>
    <row ht="13.5" customHeight="1" r="54" spans="1:5">
      <c r="A54" s="15" t="s">
        <v>595</v>
      </c>
      <c r="B54" s="15" t="s">
        <v>596</v>
      </c>
      <c r="C54" s="39">
        <v>0.26</v>
      </c>
      <c r="D54" s="110">
        <v>1</v>
      </c>
      <c r="E54" s="39">
        <f>C54*D54</f>
        <v>0.26</v>
      </c>
    </row>
    <row ht="13.5" customHeight="1" r="55" spans="1:5">
      <c r="A55" s="15" t="s">
        <v>597</v>
      </c>
      <c r="B55" s="15" t="s">
        <v>598</v>
      </c>
      <c r="C55" s="39">
        <v>2.35</v>
      </c>
      <c r="D55" s="110">
        <v>0</v>
      </c>
      <c r="E55" s="39">
        <f>C55*D55</f>
        <v>0</v>
      </c>
    </row>
    <row ht="13.5" customHeight="1" r="56" spans="1:5">
      <c r="A56" s="28" t="s">
        <v>599</v>
      </c>
      <c r="B56" s="15"/>
      <c r="C56" s="39"/>
      <c r="D56" s="110"/>
      <c r="E56" s="39"/>
    </row>
    <row ht="13.5" customHeight="1" r="57" spans="1:5">
      <c r="A57" s="15" t="s">
        <v>600</v>
      </c>
      <c r="B57" s="15" t="s">
        <v>601</v>
      </c>
      <c r="C57" s="39">
        <v>26.55</v>
      </c>
      <c r="D57" s="110">
        <v>0</v>
      </c>
      <c r="E57" s="39">
        <f>C57*D57</f>
        <v>0</v>
      </c>
    </row>
    <row ht="13.5" customHeight="1" r="58" spans="1:5">
      <c r="A58" s="15" t="s">
        <v>602</v>
      </c>
      <c r="B58" s="15" t="s">
        <v>230</v>
      </c>
      <c r="C58" s="39">
        <v>26.23</v>
      </c>
      <c r="D58" s="110">
        <v>1.4</v>
      </c>
      <c r="E58" s="39">
        <f>C58*D58</f>
        <v>36.722</v>
      </c>
    </row>
    <row ht="13.5" customHeight="1" r="59" spans="1:5">
      <c r="A59" s="15" t="s">
        <v>603</v>
      </c>
      <c r="B59" s="15" t="s">
        <v>604</v>
      </c>
      <c r="C59" s="39">
        <v>39.96</v>
      </c>
      <c r="D59" s="110">
        <v>0.2</v>
      </c>
      <c r="E59" s="39">
        <f>C59*D59</f>
        <v>7.992</v>
      </c>
    </row>
    <row ht="13.5" customHeight="1" r="60" spans="1:5">
      <c r="A60" s="28" t="s">
        <v>605</v>
      </c>
      <c r="B60" s="15"/>
      <c r="C60" s="39"/>
      <c r="D60" s="110"/>
      <c r="E60" s="39">
        <f>C60*D60</f>
        <v>0</v>
      </c>
    </row>
    <row ht="13.5" customHeight="1" r="61" spans="1:5">
      <c r="A61" s="15" t="s">
        <v>606</v>
      </c>
      <c r="B61" s="15" t="s">
        <v>542</v>
      </c>
      <c r="C61" s="39">
        <v>23.54</v>
      </c>
      <c r="D61" s="110">
        <v>0</v>
      </c>
      <c r="E61" s="39">
        <f>C61*D61</f>
        <v>0</v>
      </c>
    </row>
    <row ht="13.5" customHeight="1" r="62" spans="1:5">
      <c r="A62" s="15" t="s">
        <v>607</v>
      </c>
      <c r="B62" s="15" t="s">
        <v>98</v>
      </c>
      <c r="C62" s="39">
        <v>2.71</v>
      </c>
      <c r="D62" s="71">
        <v>0</v>
      </c>
      <c r="E62" s="39">
        <f>C62*D62</f>
        <v>0</v>
      </c>
    </row>
    <row ht="13.5" customHeight="1" r="63" spans="1:5">
      <c r="A63" s="15" t="s">
        <v>608</v>
      </c>
      <c r="B63" s="15" t="s">
        <v>609</v>
      </c>
      <c r="C63" s="39">
        <v>22.94</v>
      </c>
      <c r="D63" s="71">
        <v>0</v>
      </c>
      <c r="E63" s="39">
        <f>C63*D63</f>
        <v>0</v>
      </c>
    </row>
    <row ht="13.5" customHeight="1" r="64" spans="1:5">
      <c r="A64" s="15" t="s">
        <v>610</v>
      </c>
      <c r="B64" s="72">
        <v>60</v>
      </c>
      <c r="C64" s="39">
        <v>23.62</v>
      </c>
      <c r="D64" s="110">
        <v>0</v>
      </c>
      <c r="E64" s="39">
        <f>C64*D64</f>
        <v>0</v>
      </c>
    </row>
    <row ht="13.5" customHeight="1" r="65" spans="1:5">
      <c r="A65" s="15" t="s">
        <v>611</v>
      </c>
      <c r="B65" s="15" t="s">
        <v>336</v>
      </c>
      <c r="C65" s="39">
        <v>0.47</v>
      </c>
      <c r="D65" s="110">
        <v>0</v>
      </c>
      <c r="E65" s="39">
        <f>C65*D65</f>
        <v>0</v>
      </c>
    </row>
    <row ht="13.5" customHeight="1" r="66" spans="1:5">
      <c r="A66" s="15" t="s">
        <v>612</v>
      </c>
      <c r="B66" s="15" t="s">
        <v>613</v>
      </c>
      <c r="C66" s="39">
        <v>12.99</v>
      </c>
      <c r="D66" s="110">
        <v>0</v>
      </c>
      <c r="E66" s="39">
        <f>C66*D66</f>
        <v>0</v>
      </c>
    </row>
    <row ht="13.5" customHeight="1" r="67" spans="1:5">
      <c r="A67" s="15" t="s">
        <v>614</v>
      </c>
      <c r="B67" s="15" t="s">
        <v>230</v>
      </c>
      <c r="C67" s="39">
        <v>37.26</v>
      </c>
      <c r="D67" s="110">
        <v>0</v>
      </c>
      <c r="E67" s="39">
        <f>C67*D67</f>
        <v>0</v>
      </c>
    </row>
    <row ht="13.5" customHeight="1" r="68" spans="1:5">
      <c r="A68" s="15" t="s">
        <v>615</v>
      </c>
      <c r="B68" s="15" t="s">
        <v>616</v>
      </c>
      <c r="C68" s="39">
        <v>1.65</v>
      </c>
      <c r="D68" s="110">
        <v>0</v>
      </c>
      <c r="E68" s="39">
        <f>C68*D68</f>
        <v>0</v>
      </c>
    </row>
    <row ht="13.5" customHeight="1" r="69" spans="1:5">
      <c r="A69" s="15" t="s">
        <v>617</v>
      </c>
      <c r="B69" s="15" t="s">
        <v>449</v>
      </c>
      <c r="C69" s="39">
        <v>14.07</v>
      </c>
      <c r="D69" s="110">
        <v>0</v>
      </c>
      <c r="E69" s="39">
        <f>C69*D69</f>
        <v>0</v>
      </c>
    </row>
    <row ht="13.5" customHeight="1" r="70" spans="1:5">
      <c r="A70" s="15" t="s">
        <v>618</v>
      </c>
      <c r="B70" s="73">
        <v>1</v>
      </c>
      <c r="C70" s="39">
        <v>6.05</v>
      </c>
      <c r="D70" s="110">
        <v>0</v>
      </c>
      <c r="E70" s="39">
        <f>C70*D70</f>
        <v>0</v>
      </c>
    </row>
    <row ht="13.5" customHeight="1" r="71" spans="1:5">
      <c r="A71" s="15" t="s">
        <v>619</v>
      </c>
      <c r="B71" s="15" t="s">
        <v>336</v>
      </c>
      <c r="C71" s="39">
        <v>0.29</v>
      </c>
      <c r="D71" s="110">
        <v>0</v>
      </c>
      <c r="E71" s="39">
        <f>C71*D71</f>
        <v>0</v>
      </c>
    </row>
    <row ht="13.5" customHeight="1" r="72" spans="1:5">
      <c r="A72" s="15" t="s">
        <v>620</v>
      </c>
      <c r="B72" s="15"/>
      <c r="C72" s="39"/>
      <c r="D72" s="110">
        <v>0</v>
      </c>
      <c r="E72" s="39">
        <v>0</v>
      </c>
    </row>
    <row ht="13.5" customHeight="1" r="73" spans="1:5">
      <c r="A73" s="15" t="s">
        <v>621</v>
      </c>
      <c r="B73" s="15" t="s">
        <v>230</v>
      </c>
      <c r="C73" s="39">
        <v>25.68</v>
      </c>
      <c r="D73" s="110">
        <v>0.6</v>
      </c>
      <c r="E73" s="39">
        <v>0</v>
      </c>
    </row>
    <row ht="13.5" customHeight="1" r="74" spans="1:5">
      <c r="A74" s="15" t="s">
        <v>622</v>
      </c>
      <c r="B74" s="15"/>
      <c r="C74" s="39">
        <v>31.5</v>
      </c>
      <c r="D74" s="110">
        <v>0</v>
      </c>
      <c r="E74" s="39">
        <v>0</v>
      </c>
    </row>
    <row ht="13.5" customHeight="1" r="75" spans="1:5">
      <c r="A75" s="15" t="s">
        <v>623</v>
      </c>
      <c r="B75" s="15" t="s">
        <v>624</v>
      </c>
      <c r="C75" s="39">
        <v>20.87</v>
      </c>
      <c r="D75" s="110">
        <v>0</v>
      </c>
      <c r="E75" s="39">
        <f>C75*D75</f>
        <v>0</v>
      </c>
    </row>
    <row ht="13.5" customHeight="1" r="76" spans="1:5">
      <c r="A76" s="15" t="s">
        <v>625</v>
      </c>
      <c r="B76" s="15" t="s">
        <v>336</v>
      </c>
      <c r="C76" s="39">
        <v>0.42</v>
      </c>
      <c r="D76" s="110">
        <v>0</v>
      </c>
      <c r="E76" s="39">
        <v>0</v>
      </c>
    </row>
    <row ht="13.5" customHeight="1" r="77" spans="1:5">
      <c r="A77" s="5" t="s">
        <v>626</v>
      </c>
      <c r="B77" s="15" t="s">
        <v>627</v>
      </c>
      <c r="C77" s="39">
        <v>21.94</v>
      </c>
      <c r="D77" s="110">
        <v>0</v>
      </c>
      <c r="E77" s="39">
        <v>0</v>
      </c>
    </row>
    <row ht="13.5" customHeight="1" r="78" spans="1:5">
      <c r="A78" s="15" t="s">
        <v>628</v>
      </c>
      <c r="B78" s="15" t="s">
        <v>336</v>
      </c>
      <c r="C78" s="39">
        <v>0.24</v>
      </c>
      <c r="D78" s="110">
        <v>80</v>
      </c>
      <c r="E78" s="39">
        <f>C78*D78</f>
        <v>19.2</v>
      </c>
    </row>
    <row ht="13.5" customHeight="1" r="79" spans="1:5">
      <c r="A79" s="15" t="s">
        <v>629</v>
      </c>
      <c r="B79" s="15" t="s">
        <v>336</v>
      </c>
      <c r="C79" s="39">
        <v>0.12</v>
      </c>
      <c r="D79" s="110">
        <v>10</v>
      </c>
      <c r="E79" s="39">
        <v>0</v>
      </c>
    </row>
    <row ht="13.5" customHeight="1" r="80" spans="1:5">
      <c r="A80" s="15" t="s">
        <v>630</v>
      </c>
      <c r="B80" s="15" t="s">
        <v>336</v>
      </c>
      <c r="C80" s="39">
        <v>0.25</v>
      </c>
      <c r="D80" s="110">
        <v>0</v>
      </c>
      <c r="E80" s="39">
        <v>0</v>
      </c>
    </row>
    <row ht="13.5" customHeight="1" r="81" spans="1:5">
      <c r="A81" s="15"/>
      <c r="B81" s="15"/>
      <c r="C81" s="39"/>
      <c r="D81" s="110"/>
      <c r="E81" s="39">
        <f>C81*D81</f>
        <v>0</v>
      </c>
    </row>
    <row ht="13.5" customHeight="1" r="82" spans="1:5">
      <c r="A82" s="15" t="s">
        <v>593</v>
      </c>
      <c r="B82" s="15"/>
      <c r="C82" s="39">
        <v>16.15</v>
      </c>
      <c r="D82" s="110">
        <v>0</v>
      </c>
      <c r="E82" s="39">
        <f>C82*D82</f>
        <v>0</v>
      </c>
    </row>
    <row ht="13.5" customHeight="1" r="83" spans="1:5">
      <c r="A83" s="15" t="s">
        <v>631</v>
      </c>
      <c r="B83" s="15" t="s">
        <v>632</v>
      </c>
      <c r="C83" s="39">
        <v>13.77</v>
      </c>
      <c r="D83" s="110">
        <v>0</v>
      </c>
      <c r="E83" s="39">
        <f>C83*D83</f>
        <v>0</v>
      </c>
    </row>
    <row ht="13.5" customHeight="1" r="84" spans="1:5">
      <c r="A84" s="15" t="s">
        <v>633</v>
      </c>
      <c r="B84" s="15" t="s">
        <v>634</v>
      </c>
      <c r="C84" s="39"/>
      <c r="D84" s="110">
        <v>0</v>
      </c>
      <c r="E84" s="39">
        <f>C84*D84</f>
        <v>0</v>
      </c>
    </row>
    <row ht="13.5" customHeight="1" r="85" spans="1:5">
      <c r="A85" s="5" t="s">
        <v>341</v>
      </c>
      <c r="B85" s="15"/>
      <c r="C85" s="74"/>
      <c r="D85" s="23"/>
      <c r="E85" s="67">
        <f>SUM(E6:E84)</f>
        <v>350.474</v>
      </c>
    </row>
    <row ht="12.75" customHeight="1" r="86" spans="1:5">
      <c r="E86" s="75"/>
    </row>
    <row ht="12" customHeight="1" r="87" spans="1:5">
      <c r="E87" s="71">
        <v>707.11</v>
      </c>
    </row>
    <row ht="12" customHeight="1" r="88" spans="1:5"/>
    <row ht="12" customHeight="1" r="89" spans="1:5"/>
    <row ht="12" customHeight="1" r="90" spans="1:5"/>
    <row ht="12" customHeight="1" r="91" spans="1:5"/>
    <row ht="12" customHeight="1" r="92" spans="1:5"/>
    <row ht="12" customHeight="1" r="93" spans="1:5"/>
    <row ht="12" customHeight="1" r="94" spans="1:5"/>
    <row ht="12" customHeight="1" r="95" spans="1:5"/>
    <row ht="12" customHeight="1" r="96" spans="1:5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2" customHeight="1" r="234"/>
    <row ht="12" customHeight="1" r="235"/>
    <row ht="12" customHeight="1" r="236"/>
    <row ht="12" customHeight="1" r="237"/>
    <row ht="12" customHeight="1" r="238"/>
    <row ht="12" customHeight="1" r="239"/>
    <row ht="12" customHeight="1" r="240"/>
    <row ht="12" customHeight="1" r="241"/>
    <row ht="12" customHeight="1" r="242"/>
    <row ht="12" customHeight="1" r="243"/>
    <row ht="12" customHeight="1" r="244"/>
    <row ht="12" customHeight="1" r="245"/>
    <row ht="12" customHeight="1" r="246"/>
    <row ht="12" customHeight="1" r="247"/>
    <row ht="12" customHeight="1" r="248"/>
    <row ht="12" customHeight="1" r="249"/>
    <row ht="12" customHeight="1" r="250"/>
    <row ht="12" customHeight="1" r="251"/>
    <row ht="12" customHeight="1" r="252"/>
    <row ht="12" customHeight="1" r="253"/>
    <row ht="12" customHeight="1" r="254"/>
    <row ht="12" customHeight="1" r="255"/>
    <row ht="12" customHeight="1" r="256"/>
    <row ht="12" customHeight="1" r="257"/>
    <row ht="12" customHeight="1" r="258"/>
    <row ht="12" customHeight="1" r="259"/>
    <row ht="12" customHeight="1" r="260"/>
    <row ht="12" customHeight="1" r="261"/>
    <row ht="12" customHeight="1" r="262"/>
    <row ht="12" customHeight="1" r="263"/>
    <row ht="12" customHeight="1" r="264"/>
    <row ht="12" customHeight="1" r="265"/>
    <row ht="12" customHeight="1" r="266"/>
    <row ht="12" customHeight="1" r="267"/>
    <row ht="12" customHeight="1" r="268"/>
    <row ht="12" customHeight="1" r="269"/>
    <row ht="12" customHeight="1" r="270"/>
    <row ht="12" customHeight="1" r="271"/>
    <row ht="12" customHeight="1" r="272"/>
    <row ht="12" customHeight="1" r="273"/>
    <row ht="12" customHeight="1" r="274"/>
    <row ht="12" customHeight="1" r="275"/>
    <row ht="12" customHeight="1" r="276"/>
    <row ht="12" customHeight="1" r="277"/>
    <row ht="12" customHeight="1" r="278"/>
    <row ht="12" customHeight="1" r="279"/>
    <row ht="12" customHeight="1" r="280"/>
    <row ht="12" customHeight="1" r="281"/>
    <row ht="12" customHeight="1" r="282"/>
    <row ht="12" customHeight="1" r="283"/>
    <row ht="12" customHeight="1" r="284"/>
    <row ht="12" customHeight="1" r="285"/>
    <row ht="12" customHeight="1" r="286"/>
    <row ht="12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32986111111111099" right="0.22013888888888899" top="1.141805555555556" bottom="1.3570833333333301" header="0" footer="0"/>
  <pageSetup orientation="portrait"/>
  <headerFooter>
    <oddFooter>&amp;L&amp;A&amp;R&amp;D</oddFooter>
  </headerFooter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>
      <selection pane="topLeft" activeCell="I49" sqref="I49"/>
    </sheetView>
  </sheetViews>
  <sheetFormatPr baseColWidth="8" defaultColWidth="12.625" defaultRowHeight="15"/>
  <cols>
    <col min="1" max="1" width="33.875" customWidth="1"/>
    <col min="2" max="2" width="10.125" customWidth="1"/>
    <col min="3" max="3" width="11.75" customWidth="1"/>
    <col min="4" max="4" width="8" customWidth="1"/>
    <col min="5" max="5" width="11.75" customWidth="1"/>
    <col min="6" max="6" width="8.5" customWidth="1"/>
  </cols>
  <sheetData>
    <row ht="21" customHeight="1" r="1" spans="1:5">
      <c r="A1" s="1" t="s">
        <v>0</v>
      </c>
      <c r="B1" s="6"/>
      <c r="C1" s="7"/>
      <c r="D1" s="20"/>
      <c r="E1" s="21"/>
    </row>
    <row ht="13.5" customHeight="1" r="2" spans="1:5">
      <c r="A2" s="9" t="s">
        <v>11</v>
      </c>
      <c r="B2" s="6"/>
      <c r="C2" s="7"/>
      <c r="D2" s="20"/>
      <c r="E2" s="21"/>
    </row>
    <row ht="13.5" customHeight="1" r="3" spans="1:5">
      <c r="A3" s="22"/>
      <c r="B3" s="6"/>
      <c r="C3" s="7"/>
      <c r="D3" s="20"/>
      <c r="E3" s="21"/>
    </row>
    <row ht="13.5" customHeight="1" r="4" spans="1:5">
      <c r="A4" s="23" t="s">
        <v>19</v>
      </c>
      <c r="B4" s="5" t="s">
        <v>20</v>
      </c>
      <c r="C4" s="23" t="s">
        <v>21</v>
      </c>
      <c r="D4" s="25" t="s">
        <v>22</v>
      </c>
      <c r="E4" s="25" t="s">
        <v>23</v>
      </c>
    </row>
    <row ht="13.5" customHeight="1" r="5" spans="1:5">
      <c r="A5" s="28" t="s">
        <v>635</v>
      </c>
      <c r="B5" s="15"/>
      <c r="C5" s="76"/>
      <c r="D5" s="65"/>
      <c r="E5" s="26"/>
    </row>
    <row ht="13.5" customHeight="1" r="6" spans="1:5">
      <c r="A6" s="15" t="s">
        <v>636</v>
      </c>
      <c r="B6" s="15" t="s">
        <v>637</v>
      </c>
      <c r="C6" s="30">
        <v>0.48</v>
      </c>
      <c r="D6" s="65">
        <v>150</v>
      </c>
      <c r="E6" s="77">
        <f>C6*D6</f>
        <v>72</v>
      </c>
    </row>
    <row ht="13.5" customHeight="1" r="7" spans="1:5">
      <c r="A7" s="15" t="s">
        <v>638</v>
      </c>
      <c r="B7" s="15" t="s">
        <v>639</v>
      </c>
      <c r="C7" s="30">
        <v>5.98</v>
      </c>
      <c r="D7" s="65"/>
      <c r="E7" s="77">
        <f>C7*D7</f>
        <v>0</v>
      </c>
    </row>
    <row ht="13.5" customHeight="1" r="8" spans="1:5">
      <c r="A8" s="15" t="s">
        <v>640</v>
      </c>
      <c r="B8" s="15" t="s">
        <v>336</v>
      </c>
      <c r="C8" s="30">
        <v>2.45</v>
      </c>
      <c r="D8" s="65" t="s">
        <v>641</v>
      </c>
      <c r="E8" s="77"/>
    </row>
    <row ht="13.5" customHeight="1" r="9" spans="1:5">
      <c r="A9" s="15" t="s">
        <v>642</v>
      </c>
      <c r="B9" s="15" t="s">
        <v>639</v>
      </c>
      <c r="C9" s="30">
        <v>5.09</v>
      </c>
      <c r="D9" s="65">
        <v>13</v>
      </c>
      <c r="E9" s="77">
        <f>C9*D9</f>
        <v>66.17</v>
      </c>
    </row>
    <row ht="13.5" customHeight="1" r="10" spans="1:5">
      <c r="A10" s="58" t="s">
        <v>643</v>
      </c>
      <c r="B10" s="58" t="s">
        <v>637</v>
      </c>
      <c r="C10" s="78">
        <v>0.35</v>
      </c>
      <c r="D10" s="65">
        <v>0</v>
      </c>
      <c r="E10" s="77">
        <f>C10*D10</f>
        <v>0</v>
      </c>
    </row>
    <row ht="13.5" customHeight="1" r="11" spans="1:5">
      <c r="A11" s="15" t="s">
        <v>644</v>
      </c>
      <c r="B11" s="15" t="s">
        <v>145</v>
      </c>
      <c r="C11" s="30">
        <v>5.62</v>
      </c>
      <c r="D11" s="65"/>
      <c r="E11" s="77">
        <f>C11*D11</f>
        <v>0</v>
      </c>
    </row>
    <row ht="13.5" customHeight="1" r="12" spans="1:5">
      <c r="A12" s="15" t="s">
        <v>645</v>
      </c>
      <c r="B12" s="15">
        <v>100</v>
      </c>
      <c r="C12" s="30">
        <v>5.32</v>
      </c>
      <c r="D12" s="65"/>
      <c r="E12" s="77">
        <f>C12*D12</f>
        <v>0</v>
      </c>
    </row>
    <row ht="13.5" customHeight="1" r="13" spans="1:5">
      <c r="A13" s="15" t="s">
        <v>646</v>
      </c>
      <c r="B13" s="15" t="s">
        <v>145</v>
      </c>
      <c r="C13" s="30">
        <v>2.9</v>
      </c>
      <c r="D13" s="65"/>
      <c r="E13" s="77">
        <f>C13*D13</f>
        <v>0</v>
      </c>
    </row>
    <row ht="13.5" customHeight="1" r="14" spans="1:5">
      <c r="A14" s="15" t="s">
        <v>647</v>
      </c>
      <c r="B14" s="15" t="s">
        <v>145</v>
      </c>
      <c r="C14" s="30">
        <v>6.01</v>
      </c>
      <c r="D14" s="65">
        <v>0</v>
      </c>
      <c r="E14" s="77">
        <f>C14*D14</f>
        <v>0</v>
      </c>
    </row>
    <row ht="13.5" customHeight="1" r="15" spans="1:5">
      <c r="A15" s="28" t="s">
        <v>648</v>
      </c>
      <c r="B15" s="115"/>
      <c r="C15" s="116"/>
      <c r="D15" s="65"/>
      <c r="E15" s="77">
        <f>C15*D15</f>
        <v>0</v>
      </c>
    </row>
    <row ht="13.5" customHeight="1" r="16" spans="1:5">
      <c r="A16" s="15" t="s">
        <v>649</v>
      </c>
      <c r="B16" s="15" t="s">
        <v>650</v>
      </c>
      <c r="C16" s="30">
        <v>8.45</v>
      </c>
      <c r="D16" s="65">
        <v>0</v>
      </c>
      <c r="E16" s="77">
        <f>C16*D16</f>
        <v>0</v>
      </c>
    </row>
    <row ht="13.5" customHeight="1" r="17" spans="1:5">
      <c r="A17" s="15" t="s">
        <v>651</v>
      </c>
      <c r="B17" s="15" t="s">
        <v>652</v>
      </c>
      <c r="C17" s="30">
        <v>9.67</v>
      </c>
      <c r="D17" s="65">
        <v>3</v>
      </c>
      <c r="E17" s="77">
        <f>C17*D17</f>
        <v>29.01</v>
      </c>
    </row>
    <row ht="13.5" customHeight="1" r="18" spans="1:5">
      <c r="A18" s="15" t="s">
        <v>653</v>
      </c>
      <c r="B18" s="15" t="s">
        <v>230</v>
      </c>
      <c r="C18" s="30">
        <v>6.37</v>
      </c>
      <c r="D18" s="65">
        <v>0</v>
      </c>
      <c r="E18" s="77">
        <f>C18*D18</f>
        <v>0</v>
      </c>
    </row>
    <row ht="13.5" customHeight="1" r="19" spans="1:5">
      <c r="A19" s="15" t="s">
        <v>654</v>
      </c>
      <c r="B19" s="15" t="s">
        <v>77</v>
      </c>
      <c r="C19" s="30">
        <v>27.65</v>
      </c>
      <c r="D19" s="65">
        <v>0</v>
      </c>
      <c r="E19" s="77">
        <f>C19*D19</f>
        <v>0</v>
      </c>
    </row>
    <row ht="13.5" customHeight="1" r="20" spans="1:5">
      <c r="A20" s="15" t="s">
        <v>655</v>
      </c>
      <c r="B20" s="15" t="s">
        <v>29</v>
      </c>
      <c r="C20" s="30">
        <v>6.15</v>
      </c>
      <c r="D20" s="65">
        <v>3</v>
      </c>
      <c r="E20" s="77">
        <f>C20*D20</f>
        <v>18.45</v>
      </c>
    </row>
    <row ht="13.5" customHeight="1" r="21" spans="1:5">
      <c r="A21" s="15" t="s">
        <v>656</v>
      </c>
      <c r="B21" s="15" t="s">
        <v>145</v>
      </c>
      <c r="C21" s="30">
        <v>8.29</v>
      </c>
      <c r="D21" s="65">
        <v>0</v>
      </c>
      <c r="E21" s="77">
        <f>C21*D21</f>
        <v>0</v>
      </c>
    </row>
    <row ht="13.5" customHeight="1" r="22" spans="1:5">
      <c r="A22" s="15" t="s">
        <v>657</v>
      </c>
      <c r="B22" s="15" t="s">
        <v>29</v>
      </c>
      <c r="C22" s="30">
        <v>10</v>
      </c>
      <c r="D22" s="65">
        <v>0</v>
      </c>
      <c r="E22" s="77">
        <f>C22*D22</f>
        <v>0</v>
      </c>
    </row>
    <row ht="13.5" customHeight="1" r="23" spans="1:5">
      <c r="A23" s="15" t="s">
        <v>658</v>
      </c>
      <c r="B23" s="15" t="s">
        <v>659</v>
      </c>
      <c r="C23" s="30">
        <v>8.41</v>
      </c>
      <c r="D23" s="65">
        <v>1</v>
      </c>
      <c r="E23" s="77">
        <f>C23*D23</f>
        <v>8.41</v>
      </c>
    </row>
    <row ht="13.5" customHeight="1" r="24" spans="1:5">
      <c r="A24" s="15" t="s">
        <v>660</v>
      </c>
      <c r="B24" s="15" t="s">
        <v>98</v>
      </c>
      <c r="C24" s="30">
        <v>10.56</v>
      </c>
      <c r="D24" s="65">
        <v>0</v>
      </c>
      <c r="E24" s="77">
        <f>C24*D24</f>
        <v>0</v>
      </c>
    </row>
    <row ht="13.5" customHeight="1" r="25" spans="1:5">
      <c r="A25" s="15" t="s">
        <v>661</v>
      </c>
      <c r="B25" s="15" t="s">
        <v>662</v>
      </c>
      <c r="C25" s="30">
        <v>2.85</v>
      </c>
      <c r="D25" s="65">
        <v>1</v>
      </c>
      <c r="E25" s="77">
        <f>C25*D25</f>
        <v>2.85</v>
      </c>
    </row>
    <row ht="13.5" customHeight="1" r="26" spans="1:5">
      <c r="A26" s="15" t="s">
        <v>663</v>
      </c>
      <c r="B26" s="15" t="s">
        <v>29</v>
      </c>
      <c r="C26" s="30">
        <v>10.56</v>
      </c>
      <c r="D26" s="65">
        <v>0</v>
      </c>
      <c r="E26" s="77">
        <f>C26*D26</f>
        <v>0</v>
      </c>
    </row>
    <row ht="13.5" customHeight="1" r="27" spans="1:5">
      <c r="A27" s="15" t="s">
        <v>664</v>
      </c>
      <c r="B27" s="15" t="s">
        <v>29</v>
      </c>
      <c r="C27" s="30">
        <v>9.07</v>
      </c>
      <c r="D27" s="65">
        <v>1</v>
      </c>
      <c r="E27" s="77">
        <f>C27*D27</f>
        <v>9.07</v>
      </c>
    </row>
    <row ht="13.5" customHeight="1" r="28" spans="1:5">
      <c r="A28" s="15" t="s">
        <v>665</v>
      </c>
      <c r="B28" s="15" t="s">
        <v>145</v>
      </c>
      <c r="C28" s="30">
        <v>13.05</v>
      </c>
      <c r="D28" s="65">
        <v>4</v>
      </c>
      <c r="E28" s="77">
        <f>C28*D28</f>
        <v>52.2</v>
      </c>
    </row>
    <row ht="13.5" customHeight="1" r="29" spans="1:5">
      <c r="A29" s="15" t="s">
        <v>666</v>
      </c>
      <c r="B29" s="15" t="s">
        <v>27</v>
      </c>
      <c r="C29" s="30">
        <v>20.11</v>
      </c>
      <c r="D29" s="65"/>
      <c r="E29" s="77">
        <f>C29*D29</f>
        <v>0</v>
      </c>
    </row>
    <row ht="13.5" customHeight="1" r="30" spans="1:5">
      <c r="A30" s="15" t="s">
        <v>667</v>
      </c>
      <c r="B30" s="15" t="s">
        <v>668</v>
      </c>
      <c r="C30" s="30">
        <v>2.07</v>
      </c>
      <c r="D30" s="65">
        <v>0</v>
      </c>
      <c r="E30" s="77">
        <f>C30*D30</f>
        <v>0</v>
      </c>
    </row>
    <row ht="13.5" customHeight="1" r="31" spans="1:5">
      <c r="A31" s="15" t="s">
        <v>669</v>
      </c>
      <c r="B31" s="15" t="s">
        <v>29</v>
      </c>
      <c r="C31" s="30">
        <v>15.47</v>
      </c>
      <c r="D31" s="65">
        <v>0</v>
      </c>
      <c r="E31" s="77">
        <f>C31*D31</f>
        <v>0</v>
      </c>
    </row>
    <row ht="13.5" customHeight="1" r="32" spans="1:5">
      <c r="A32" s="40" t="s">
        <v>670</v>
      </c>
      <c r="B32" s="15"/>
      <c r="C32" s="30"/>
      <c r="D32" s="65"/>
      <c r="E32" s="77">
        <f>C32*D32</f>
        <v>0</v>
      </c>
    </row>
    <row ht="13.5" customHeight="1" r="33" spans="1:5">
      <c r="A33" s="15" t="s">
        <v>671</v>
      </c>
      <c r="B33" s="15" t="s">
        <v>163</v>
      </c>
      <c r="C33" s="30">
        <v>3.73</v>
      </c>
      <c r="D33" s="65"/>
      <c r="E33" s="77">
        <f>C33*D33</f>
        <v>0</v>
      </c>
    </row>
    <row ht="13.5" customHeight="1" r="34" spans="1:5">
      <c r="A34" s="15" t="s">
        <v>672</v>
      </c>
      <c r="B34" s="15" t="s">
        <v>145</v>
      </c>
      <c r="C34" s="30">
        <v>6.33</v>
      </c>
      <c r="D34" s="65">
        <v>0</v>
      </c>
      <c r="E34" s="77">
        <f>C34*D34</f>
        <v>0</v>
      </c>
    </row>
    <row ht="13.5" customHeight="1" r="35" spans="1:5">
      <c r="A35" s="15" t="s">
        <v>673</v>
      </c>
      <c r="B35" s="15" t="s">
        <v>336</v>
      </c>
      <c r="C35" s="30">
        <v>0.25</v>
      </c>
      <c r="D35" s="65">
        <v>150</v>
      </c>
      <c r="E35" s="77">
        <f>C35*D35</f>
        <v>37.5</v>
      </c>
    </row>
    <row ht="13.5" customHeight="1" r="36" spans="1:5">
      <c r="A36" s="15" t="s">
        <v>674</v>
      </c>
      <c r="B36" s="15" t="s">
        <v>163</v>
      </c>
      <c r="C36" s="30">
        <v>3.6</v>
      </c>
      <c r="D36" s="65">
        <v>9</v>
      </c>
      <c r="E36" s="77">
        <f>C36*D36</f>
        <v>32.4</v>
      </c>
    </row>
    <row ht="13.5" customHeight="1" r="37" spans="1:5">
      <c r="A37" s="15" t="s">
        <v>675</v>
      </c>
      <c r="B37" s="15" t="s">
        <v>163</v>
      </c>
      <c r="C37" s="30"/>
      <c r="D37" s="65">
        <v>1</v>
      </c>
      <c r="E37" s="77"/>
    </row>
    <row r="38">
      <c r="A38" s="0" t="s">
        <v>1008</v>
      </c>
      <c r="B38" s="0" t="s">
        <v>163</v>
      </c>
      <c r="D38" s="0">
        <v>4</v>
      </c>
    </row>
    <row ht="13.5" customHeight="1" r="39" spans="1:5">
      <c r="A39" s="15" t="s">
        <v>676</v>
      </c>
      <c r="B39" s="15" t="s">
        <v>151</v>
      </c>
      <c r="C39" s="30">
        <v>1.45</v>
      </c>
      <c r="D39" s="65">
        <v>2</v>
      </c>
      <c r="E39" s="77">
        <f>C39*D39</f>
        <v>2.9</v>
      </c>
    </row>
    <row ht="13.5" customHeight="1" r="40" spans="1:5">
      <c r="A40" s="15" t="s">
        <v>677</v>
      </c>
      <c r="B40" s="15" t="s">
        <v>678</v>
      </c>
      <c r="C40" s="30">
        <v>9.04</v>
      </c>
      <c r="D40" s="65">
        <v>0</v>
      </c>
      <c r="E40" s="77">
        <f>C40*D40</f>
        <v>0</v>
      </c>
    </row>
    <row ht="13.5" customHeight="1" r="41" spans="1:5">
      <c r="A41" s="15" t="s">
        <v>679</v>
      </c>
      <c r="B41" s="15" t="s">
        <v>680</v>
      </c>
      <c r="C41" s="30">
        <v>0.76</v>
      </c>
      <c r="D41" s="65"/>
      <c r="E41" s="77">
        <f>C41*D41</f>
        <v>0</v>
      </c>
    </row>
    <row ht="13.5" customHeight="1" r="42" spans="1:5">
      <c r="A42" s="15" t="s">
        <v>681</v>
      </c>
      <c r="B42" s="15" t="s">
        <v>682</v>
      </c>
      <c r="C42" s="30">
        <v>1.38</v>
      </c>
      <c r="D42" s="65">
        <v>2</v>
      </c>
      <c r="E42" s="77">
        <f>C42*D42</f>
        <v>2.76</v>
      </c>
    </row>
    <row ht="13.5" customHeight="1" r="43" spans="1:5">
      <c r="A43" s="15" t="s">
        <v>683</v>
      </c>
      <c r="B43" s="15" t="s">
        <v>163</v>
      </c>
      <c r="C43" s="30">
        <v>3.17</v>
      </c>
      <c r="D43" s="65">
        <v>15</v>
      </c>
      <c r="E43" s="77">
        <f>C43*D43</f>
        <v>47.55</v>
      </c>
    </row>
    <row ht="13.5" customHeight="1" r="44" spans="1:5">
      <c r="A44" s="15" t="s">
        <v>684</v>
      </c>
      <c r="B44" s="15" t="s">
        <v>198</v>
      </c>
      <c r="C44" s="30">
        <v>8.17</v>
      </c>
      <c r="D44" s="65">
        <v>1</v>
      </c>
      <c r="E44" s="77">
        <f>C44*D44</f>
        <v>8.17</v>
      </c>
    </row>
    <row ht="13.5" customHeight="1" r="45" spans="1:5">
      <c r="A45" s="15" t="s">
        <v>685</v>
      </c>
      <c r="B45" s="15" t="s">
        <v>179</v>
      </c>
      <c r="C45" s="30">
        <v>8.07</v>
      </c>
      <c r="D45" s="104">
        <v>1</v>
      </c>
      <c r="E45" s="107">
        <f>C45*D45</f>
        <v>8.07</v>
      </c>
    </row>
    <row ht="13.5" customHeight="1" r="46" spans="1:5">
      <c r="A46" s="15" t="s">
        <v>686</v>
      </c>
      <c r="B46" s="15" t="s">
        <v>29</v>
      </c>
      <c r="C46" s="30">
        <v>11.47</v>
      </c>
      <c r="D46" s="104">
        <v>0</v>
      </c>
      <c r="E46" s="107">
        <f>C46*D46</f>
        <v>0</v>
      </c>
    </row>
    <row ht="13.5" customHeight="1" r="47" spans="1:5">
      <c r="A47" s="15" t="s">
        <v>687</v>
      </c>
      <c r="B47" s="15" t="s">
        <v>29</v>
      </c>
      <c r="C47" s="30">
        <v>15.5</v>
      </c>
      <c r="D47" s="104">
        <v>0</v>
      </c>
      <c r="E47" s="107">
        <f>C47*D47</f>
        <v>0</v>
      </c>
    </row>
    <row ht="13.5" customHeight="1" r="48" spans="1:5">
      <c r="A48" s="15" t="s">
        <v>688</v>
      </c>
      <c r="B48" s="15" t="s">
        <v>632</v>
      </c>
      <c r="C48" s="30">
        <v>13.99</v>
      </c>
      <c r="D48" s="65">
        <v>0</v>
      </c>
      <c r="E48" s="77">
        <f>C48*D48</f>
        <v>0</v>
      </c>
    </row>
    <row ht="13.5" customHeight="1" r="49" spans="1:5">
      <c r="A49" s="15" t="s">
        <v>689</v>
      </c>
      <c r="B49" s="15" t="s">
        <v>163</v>
      </c>
      <c r="C49" s="30">
        <v>2.45</v>
      </c>
      <c r="D49" s="65">
        <v>0</v>
      </c>
      <c r="E49" s="77">
        <f>C49*D49</f>
        <v>0</v>
      </c>
    </row>
    <row ht="13.5" customHeight="1" r="50" spans="1:5">
      <c r="A50" s="15" t="s">
        <v>690</v>
      </c>
      <c r="B50" s="15" t="s">
        <v>691</v>
      </c>
      <c r="C50" s="30">
        <v>0.47</v>
      </c>
      <c r="D50" s="65">
        <v>52</v>
      </c>
      <c r="E50" s="77">
        <f>C50*D50</f>
        <v>24.44</v>
      </c>
    </row>
    <row ht="13.5" customHeight="1" r="51" spans="1:5">
      <c r="A51" s="15" t="s">
        <v>692</v>
      </c>
      <c r="B51" s="15" t="s">
        <v>693</v>
      </c>
      <c r="C51" s="30"/>
      <c r="D51" s="65">
        <v>0</v>
      </c>
      <c r="E51" s="77"/>
    </row>
    <row ht="13.5" customHeight="1" r="52" spans="1:5">
      <c r="A52" s="15" t="s">
        <v>694</v>
      </c>
      <c r="B52" s="15" t="s">
        <v>695</v>
      </c>
      <c r="C52" s="30">
        <v>1.89</v>
      </c>
      <c r="D52" s="65">
        <v>0</v>
      </c>
      <c r="E52" s="77">
        <f>C52*D52</f>
        <v>0</v>
      </c>
    </row>
    <row ht="13.5" customHeight="1" r="53" spans="1:5">
      <c r="A53" s="5" t="s">
        <v>341</v>
      </c>
      <c r="B53" s="15"/>
      <c r="C53" s="79"/>
      <c r="D53" s="80"/>
      <c r="E53" s="60">
        <f>SUM(E6:E52)</f>
        <v>421.95</v>
      </c>
    </row>
    <row ht="12" customHeight="1" r="54" spans="1:5"/>
    <row ht="12" customHeight="1" r="55" spans="1:5"/>
    <row ht="12" customHeight="1" r="56" spans="1:5"/>
    <row ht="12" customHeight="1" r="57" spans="1:5"/>
    <row ht="12" customHeight="1" r="58" spans="1:5"/>
    <row ht="12" customHeight="1" r="59" spans="1:5"/>
    <row ht="12" customHeight="1" r="60" spans="1:5"/>
    <row ht="12" customHeight="1" r="61" spans="1:5"/>
    <row ht="12" customHeight="1" r="62" spans="1:5"/>
    <row ht="12" customHeight="1" r="63" spans="1:5"/>
    <row ht="12" customHeight="1" r="64" spans="1:5"/>
    <row ht="12" customHeight="1" r="65" spans="1:5"/>
    <row ht="12" customHeight="1" r="66"/>
    <row ht="12" customHeight="1" r="67"/>
    <row ht="12" customHeight="1" r="68"/>
    <row ht="12" customHeight="1" r="69"/>
    <row ht="12" customHeight="1" r="70"/>
    <row ht="12" customHeight="1" r="71"/>
    <row ht="12" customHeight="1" r="72"/>
    <row ht="12" customHeight="1" r="73"/>
    <row ht="12" customHeight="1" r="74"/>
    <row ht="12" customHeight="1" r="75"/>
    <row ht="12" customHeight="1" r="76"/>
    <row ht="12" customHeight="1" r="77"/>
    <row ht="12" customHeight="1" r="78"/>
    <row ht="12" customHeight="1" r="79"/>
    <row ht="12" customHeight="1" r="80"/>
    <row ht="12" customHeight="1" r="81"/>
    <row ht="12" customHeight="1" r="82"/>
    <row ht="12" customHeight="1" r="83"/>
    <row ht="12" customHeight="1" r="84"/>
    <row ht="12" customHeight="1" r="85"/>
    <row ht="12" customHeight="1" r="86"/>
    <row ht="12" customHeight="1" r="87"/>
    <row ht="12" customHeight="1" r="88"/>
    <row ht="12" customHeight="1" r="89"/>
    <row ht="12" customHeight="1" r="90"/>
    <row ht="12" customHeight="1" r="91"/>
    <row ht="12" customHeight="1" r="92"/>
    <row ht="12" customHeight="1" r="93"/>
    <row ht="12" customHeight="1" r="94"/>
    <row ht="12" customHeight="1" r="95"/>
    <row ht="12" customHeight="1" r="96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2" customHeight="1" r="234"/>
    <row ht="12" customHeight="1" r="235"/>
    <row ht="12" customHeight="1" r="236"/>
    <row ht="12" customHeight="1" r="237"/>
    <row ht="12" customHeight="1" r="238"/>
    <row ht="12" customHeight="1" r="239"/>
    <row ht="12" customHeight="1" r="240"/>
    <row ht="12" customHeight="1" r="241"/>
    <row ht="12" customHeight="1" r="242"/>
    <row ht="12" customHeight="1" r="243"/>
    <row ht="12" customHeight="1" r="244"/>
    <row ht="12" customHeight="1" r="245"/>
    <row ht="12" customHeight="1" r="246"/>
    <row ht="12" customHeight="1" r="247"/>
    <row ht="12" customHeight="1" r="248"/>
    <row ht="12" customHeight="1" r="249"/>
    <row ht="12" customHeight="1" r="250"/>
    <row ht="12" customHeight="1" r="251"/>
    <row ht="12" customHeight="1" r="252"/>
    <row ht="12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  <row ht="15.75" customHeight="1" r="1001"/>
  </sheetData>
  <mergeCells count="1">
    <mergeCell ref="B15:C15"/>
  </mergeCells>
  <pageMargins left="0.37013888888888902" right="0.32013888888888897" top="1.141805555555556" bottom="1.3570833333333301" header="0" footer="0"/>
  <pageSetup orientation="portrait"/>
  <headerFooter>
    <oddFooter>&amp;L&amp;A&amp;R&amp;D</oddFooter>
  </headerFooter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Views>
    <sheetView workbookViewId="0">
      <selection pane="topLeft" activeCell="J108" sqref="J108"/>
    </sheetView>
  </sheetViews>
  <sheetFormatPr baseColWidth="8" defaultColWidth="12.625" defaultRowHeight="15"/>
  <cols>
    <col min="1" max="1" width="32.125" customWidth="1"/>
    <col min="2" max="2" width="0.375" hidden="1" customWidth="1"/>
    <col min="3" max="3" width="9.875" customWidth="1"/>
    <col min="4" max="4" width="11.75" customWidth="1"/>
    <col min="5" max="5" width="9.875" customWidth="1"/>
    <col min="6" max="6" width="11.75" customWidth="1"/>
    <col min="7" max="9" width="8.5" customWidth="1"/>
  </cols>
  <sheetData>
    <row ht="21" customHeight="1" r="1" spans="1:6">
      <c r="A1" s="1" t="s">
        <v>0</v>
      </c>
      <c r="B1" s="6"/>
      <c r="C1" s="7"/>
      <c r="D1" s="6"/>
      <c r="E1" s="20"/>
      <c r="F1" s="21"/>
    </row>
    <row ht="14.25" customHeight="1" r="2" spans="1:6">
      <c r="A2" s="9" t="s">
        <v>12</v>
      </c>
      <c r="B2" s="6"/>
      <c r="C2" s="7"/>
      <c r="D2" s="6"/>
      <c r="E2" s="20"/>
      <c r="F2" s="21"/>
    </row>
    <row ht="14.25" customHeight="1" r="3" spans="1:6">
      <c r="A3" s="22"/>
      <c r="B3" s="6"/>
      <c r="C3" s="7"/>
      <c r="D3" s="6"/>
      <c r="E3" s="20"/>
      <c r="F3" s="21"/>
    </row>
    <row ht="14.25" customHeight="1" r="4" spans="1:6">
      <c r="A4" s="23" t="s">
        <v>19</v>
      </c>
      <c r="B4" s="23"/>
      <c r="C4" s="23" t="s">
        <v>20</v>
      </c>
      <c r="D4" s="23" t="s">
        <v>21</v>
      </c>
      <c r="E4" s="24" t="s">
        <v>22</v>
      </c>
      <c r="F4" s="25" t="s">
        <v>23</v>
      </c>
    </row>
    <row ht="14.25" customHeight="1" r="5" spans="1:6">
      <c r="A5" s="81" t="s">
        <v>696</v>
      </c>
      <c r="B5" s="2"/>
      <c r="C5" s="2"/>
      <c r="D5" s="82"/>
      <c r="E5" s="83"/>
      <c r="F5" s="107">
        <f>D5*E5</f>
        <v>0</v>
      </c>
    </row>
    <row ht="14.25" customHeight="1" r="6" spans="1:6">
      <c r="A6" s="84" t="s">
        <v>697</v>
      </c>
      <c r="B6" s="2"/>
      <c r="C6" s="7" t="s">
        <v>698</v>
      </c>
      <c r="D6" s="39">
        <v>33.84</v>
      </c>
      <c r="E6" s="65">
        <v>0</v>
      </c>
      <c r="F6" s="107">
        <f>D6*E6</f>
        <v>0</v>
      </c>
    </row>
    <row ht="13.5" customHeight="1" r="7" spans="1:6">
      <c r="A7" s="15" t="s">
        <v>699</v>
      </c>
      <c r="B7" s="15" t="s">
        <v>336</v>
      </c>
      <c r="C7" s="76" t="s">
        <v>700</v>
      </c>
      <c r="D7" s="39">
        <v>28.24</v>
      </c>
      <c r="E7" s="65">
        <v>0</v>
      </c>
      <c r="F7" s="107">
        <f>D7*E7</f>
        <v>0</v>
      </c>
    </row>
    <row ht="13.5" customHeight="1" r="8" spans="1:6">
      <c r="A8" s="15" t="s">
        <v>701</v>
      </c>
      <c r="B8" s="15"/>
      <c r="C8" s="76" t="s">
        <v>336</v>
      </c>
      <c r="D8" s="39">
        <v>1.5</v>
      </c>
      <c r="E8" s="104">
        <v>0</v>
      </c>
      <c r="F8" s="107">
        <f>D8*E8</f>
        <v>0</v>
      </c>
    </row>
    <row ht="13.5" customHeight="1" r="9" spans="1:6">
      <c r="A9" s="15" t="s">
        <v>702</v>
      </c>
      <c r="B9" s="15"/>
      <c r="C9" s="76" t="s">
        <v>336</v>
      </c>
      <c r="D9" s="39">
        <v>2.04</v>
      </c>
      <c r="E9" s="104">
        <v>0</v>
      </c>
      <c r="F9" s="107">
        <f>D9*E9</f>
        <v>0</v>
      </c>
    </row>
    <row ht="13.5" customHeight="1" r="10" spans="1:6">
      <c r="A10" s="15" t="s">
        <v>703</v>
      </c>
      <c r="B10" s="15"/>
      <c r="C10" s="76" t="s">
        <v>29</v>
      </c>
      <c r="D10" s="39">
        <v>1.78</v>
      </c>
      <c r="E10" s="104"/>
      <c r="F10" s="107">
        <f>D10*E10</f>
        <v>0</v>
      </c>
    </row>
    <row ht="13.5" customHeight="1" r="11" spans="1:6">
      <c r="A11" s="15" t="s">
        <v>547</v>
      </c>
      <c r="B11" s="15"/>
      <c r="C11" s="76" t="s">
        <v>704</v>
      </c>
      <c r="D11" s="39">
        <v>2.86</v>
      </c>
      <c r="E11" s="104">
        <v>0</v>
      </c>
      <c r="F11" s="107">
        <f>D11*E11</f>
        <v>0</v>
      </c>
    </row>
    <row ht="13.5" customHeight="1" r="12" spans="1:6">
      <c r="A12" s="15" t="s">
        <v>705</v>
      </c>
      <c r="B12" s="15"/>
      <c r="C12" s="76" t="s">
        <v>706</v>
      </c>
      <c r="D12" s="39">
        <v>16.38</v>
      </c>
      <c r="E12" s="104">
        <v>0</v>
      </c>
      <c r="F12" s="107">
        <f>D12*E12</f>
        <v>0</v>
      </c>
    </row>
    <row ht="13.5" customHeight="1" r="13" spans="1:6">
      <c r="A13" s="15" t="s">
        <v>707</v>
      </c>
      <c r="B13" s="15" t="s">
        <v>708</v>
      </c>
      <c r="C13" s="76" t="s">
        <v>77</v>
      </c>
      <c r="D13" s="39">
        <v>26.32</v>
      </c>
      <c r="E13" s="104">
        <v>0</v>
      </c>
      <c r="F13" s="107">
        <f>D13*E13</f>
        <v>0</v>
      </c>
    </row>
    <row ht="13.5" customHeight="1" r="14" spans="1:6">
      <c r="A14" s="15" t="s">
        <v>709</v>
      </c>
      <c r="B14" s="15"/>
      <c r="C14" s="76" t="s">
        <v>98</v>
      </c>
      <c r="D14" s="39">
        <v>5.32</v>
      </c>
      <c r="E14" s="104">
        <v>0</v>
      </c>
      <c r="F14" s="107">
        <f>D14*E14</f>
        <v>0</v>
      </c>
    </row>
    <row ht="13.5" customHeight="1" r="15" spans="1:6">
      <c r="A15" s="15" t="s">
        <v>710</v>
      </c>
      <c r="B15" s="15" t="s">
        <v>596</v>
      </c>
      <c r="C15" s="76" t="s">
        <v>336</v>
      </c>
      <c r="D15" s="39">
        <v>0.28</v>
      </c>
      <c r="E15" s="104">
        <v>3</v>
      </c>
      <c r="F15" s="107">
        <f>D15*E15</f>
        <v>0.84</v>
      </c>
    </row>
    <row ht="13.5" customHeight="1" r="16" spans="1:6">
      <c r="A16" s="15" t="s">
        <v>711</v>
      </c>
      <c r="B16" s="15"/>
      <c r="C16" s="76" t="s">
        <v>678</v>
      </c>
      <c r="D16" s="39">
        <v>0.28</v>
      </c>
      <c r="E16" s="104"/>
      <c r="F16" s="107">
        <f>D16*E16</f>
        <v>0</v>
      </c>
    </row>
    <row ht="13.5" customHeight="1" r="17" spans="1:6">
      <c r="A17" s="15" t="s">
        <v>712</v>
      </c>
      <c r="B17" s="15" t="s">
        <v>596</v>
      </c>
      <c r="C17" s="76" t="s">
        <v>336</v>
      </c>
      <c r="D17" s="39">
        <v>3.87</v>
      </c>
      <c r="E17" s="104">
        <v>0</v>
      </c>
      <c r="F17" s="107">
        <f>D17*E17</f>
        <v>0</v>
      </c>
    </row>
    <row ht="13.5" customHeight="1" r="18" spans="1:6">
      <c r="A18" s="15" t="s">
        <v>713</v>
      </c>
      <c r="B18" s="15" t="s">
        <v>596</v>
      </c>
      <c r="C18" s="76" t="s">
        <v>336</v>
      </c>
      <c r="D18" s="39">
        <v>2</v>
      </c>
      <c r="E18" s="104">
        <v>0</v>
      </c>
      <c r="F18" s="107">
        <f>D18*E18</f>
        <v>0</v>
      </c>
    </row>
    <row ht="13.5" customHeight="1" r="19" spans="1:6">
      <c r="A19" s="15" t="s">
        <v>714</v>
      </c>
      <c r="B19" s="15" t="s">
        <v>596</v>
      </c>
      <c r="C19" s="76" t="s">
        <v>336</v>
      </c>
      <c r="D19" s="39">
        <v>2.55</v>
      </c>
      <c r="E19" s="104">
        <v>2</v>
      </c>
      <c r="F19" s="107">
        <f>D19*E19</f>
        <v>5.1</v>
      </c>
    </row>
    <row ht="13.5" customHeight="1" r="20" spans="1:6">
      <c r="A20" s="15" t="s">
        <v>715</v>
      </c>
      <c r="B20" s="15" t="s">
        <v>596</v>
      </c>
      <c r="C20" s="76" t="s">
        <v>678</v>
      </c>
      <c r="D20" s="39">
        <v>5.07</v>
      </c>
      <c r="E20" s="104">
        <v>3</v>
      </c>
      <c r="F20" s="107">
        <f>D20*E20</f>
        <v>15.21</v>
      </c>
    </row>
    <row ht="13.5" customHeight="1" r="21" spans="1:6">
      <c r="A21" s="15" t="s">
        <v>716</v>
      </c>
      <c r="B21" s="15" t="s">
        <v>708</v>
      </c>
      <c r="C21" s="76" t="s">
        <v>336</v>
      </c>
      <c r="D21" s="39">
        <v>0.18</v>
      </c>
      <c r="E21" s="104">
        <v>5</v>
      </c>
      <c r="F21" s="107">
        <f>D21*E21</f>
        <v>0.9</v>
      </c>
    </row>
    <row ht="13.5" customHeight="1" r="22" spans="1:6">
      <c r="A22" s="15" t="s">
        <v>717</v>
      </c>
      <c r="B22" s="15"/>
      <c r="C22" s="76" t="s">
        <v>29</v>
      </c>
      <c r="D22" s="39">
        <v>2.41</v>
      </c>
      <c r="E22" s="104">
        <v>10</v>
      </c>
      <c r="F22" s="107">
        <f>D22*E22</f>
        <v>24.1</v>
      </c>
    </row>
    <row ht="13.5" customHeight="1" r="23" spans="1:6">
      <c r="A23" s="15" t="s">
        <v>718</v>
      </c>
      <c r="B23" s="15" t="s">
        <v>596</v>
      </c>
      <c r="C23" s="76" t="s">
        <v>719</v>
      </c>
      <c r="D23" s="39">
        <v>18.06</v>
      </c>
      <c r="E23" s="104">
        <v>0</v>
      </c>
      <c r="F23" s="107">
        <f>D23*E23</f>
        <v>0</v>
      </c>
    </row>
    <row ht="13.5" customHeight="1" r="24" spans="1:6">
      <c r="A24" s="15" t="s">
        <v>720</v>
      </c>
      <c r="B24" s="15"/>
      <c r="C24" s="76" t="s">
        <v>706</v>
      </c>
      <c r="D24" s="39">
        <v>32.4</v>
      </c>
      <c r="E24" s="104">
        <v>0</v>
      </c>
      <c r="F24" s="107">
        <f>D24*E24</f>
        <v>0</v>
      </c>
    </row>
    <row ht="13.5" customHeight="1" r="25" spans="1:6">
      <c r="A25" s="15" t="s">
        <v>551</v>
      </c>
      <c r="B25" s="15" t="s">
        <v>721</v>
      </c>
      <c r="C25" s="76" t="s">
        <v>662</v>
      </c>
      <c r="D25" s="39">
        <v>2.66</v>
      </c>
      <c r="E25" s="104">
        <v>0</v>
      </c>
      <c r="F25" s="107">
        <f>D25*E25</f>
        <v>0</v>
      </c>
    </row>
    <row ht="13.5" customHeight="1" r="26" spans="1:6">
      <c r="A26" s="15" t="s">
        <v>722</v>
      </c>
      <c r="B26" s="15" t="s">
        <v>723</v>
      </c>
      <c r="C26" s="76" t="s">
        <v>724</v>
      </c>
      <c r="D26" s="39">
        <v>1.76</v>
      </c>
      <c r="E26" s="104">
        <v>2</v>
      </c>
      <c r="F26" s="107">
        <f>D26*E26</f>
        <v>3.52</v>
      </c>
    </row>
    <row ht="13.5" customHeight="1" r="27" spans="1:6">
      <c r="A27" s="15" t="s">
        <v>725</v>
      </c>
      <c r="B27" s="15" t="s">
        <v>723</v>
      </c>
      <c r="C27" s="76" t="s">
        <v>724</v>
      </c>
      <c r="D27" s="39">
        <v>1.69</v>
      </c>
      <c r="E27" s="104">
        <v>0</v>
      </c>
      <c r="F27" s="107">
        <f>D27*E27</f>
        <v>0</v>
      </c>
    </row>
    <row ht="13.5" customHeight="1" r="28" spans="1:6">
      <c r="A28" s="15" t="s">
        <v>726</v>
      </c>
      <c r="B28" s="15" t="s">
        <v>723</v>
      </c>
      <c r="C28" s="76" t="s">
        <v>724</v>
      </c>
      <c r="D28" s="39">
        <v>1.55</v>
      </c>
      <c r="E28" s="104">
        <v>1</v>
      </c>
      <c r="F28" s="107">
        <f>D28*E28</f>
        <v>1.55</v>
      </c>
    </row>
    <row ht="13.5" customHeight="1" r="29" spans="1:6">
      <c r="A29" s="15" t="s">
        <v>727</v>
      </c>
      <c r="B29" s="15" t="s">
        <v>723</v>
      </c>
      <c r="C29" s="76" t="s">
        <v>724</v>
      </c>
      <c r="D29" s="39">
        <v>1.34</v>
      </c>
      <c r="E29" s="104">
        <v>0</v>
      </c>
      <c r="F29" s="107">
        <f>D29*E29</f>
        <v>0</v>
      </c>
    </row>
    <row ht="13.5" customHeight="1" r="30" spans="1:6">
      <c r="A30" s="15" t="s">
        <v>728</v>
      </c>
      <c r="B30" s="15"/>
      <c r="C30" s="76" t="s">
        <v>336</v>
      </c>
      <c r="D30" s="39">
        <v>1.5</v>
      </c>
      <c r="E30" s="104">
        <v>0</v>
      </c>
      <c r="F30" s="107">
        <f>D30*E30</f>
        <v>0</v>
      </c>
    </row>
    <row ht="13.5" customHeight="1" r="31" spans="1:6">
      <c r="A31" s="15" t="s">
        <v>729</v>
      </c>
      <c r="B31" s="15"/>
      <c r="C31" s="76" t="s">
        <v>724</v>
      </c>
      <c r="D31" s="39">
        <v>2.23</v>
      </c>
      <c r="E31" s="104">
        <v>0</v>
      </c>
      <c r="F31" s="107">
        <f>D31*E31</f>
        <v>0</v>
      </c>
    </row>
    <row ht="13.5" customHeight="1" r="32" spans="1:6">
      <c r="A32" s="15" t="s">
        <v>730</v>
      </c>
      <c r="B32" s="15" t="s">
        <v>723</v>
      </c>
      <c r="C32" s="76" t="s">
        <v>724</v>
      </c>
      <c r="D32" s="39">
        <v>1.43</v>
      </c>
      <c r="E32" s="104">
        <v>0</v>
      </c>
      <c r="F32" s="107">
        <f>D32*E32</f>
        <v>0</v>
      </c>
    </row>
    <row ht="13.5" customHeight="1" r="33" spans="1:6">
      <c r="A33" s="15" t="s">
        <v>731</v>
      </c>
      <c r="B33" s="15" t="s">
        <v>723</v>
      </c>
      <c r="C33" s="76" t="s">
        <v>724</v>
      </c>
      <c r="D33" s="39">
        <v>1.69</v>
      </c>
      <c r="E33" s="104">
        <v>0</v>
      </c>
      <c r="F33" s="107">
        <f>D33*E33</f>
        <v>0</v>
      </c>
    </row>
    <row ht="13.5" customHeight="1" r="34" spans="1:6">
      <c r="A34" s="15" t="s">
        <v>732</v>
      </c>
      <c r="B34" s="15"/>
      <c r="C34" s="76" t="s">
        <v>724</v>
      </c>
      <c r="D34" s="39">
        <v>1.73</v>
      </c>
      <c r="E34" s="104">
        <v>0</v>
      </c>
      <c r="F34" s="107">
        <f>D34*E34</f>
        <v>0</v>
      </c>
    </row>
    <row ht="13.5" customHeight="1" r="35" spans="1:6">
      <c r="A35" s="15" t="s">
        <v>733</v>
      </c>
      <c r="B35" s="15" t="s">
        <v>723</v>
      </c>
      <c r="C35" s="76" t="s">
        <v>724</v>
      </c>
      <c r="D35" s="39">
        <v>1.63</v>
      </c>
      <c r="E35" s="104">
        <v>1</v>
      </c>
      <c r="F35" s="107">
        <f>D35*E35</f>
        <v>1.63</v>
      </c>
    </row>
    <row ht="13.5" customHeight="1" r="36" spans="1:6">
      <c r="A36" s="15" t="s">
        <v>734</v>
      </c>
      <c r="B36" s="15" t="s">
        <v>723</v>
      </c>
      <c r="C36" s="76" t="s">
        <v>724</v>
      </c>
      <c r="D36" s="39">
        <v>1.43</v>
      </c>
      <c r="E36" s="104">
        <v>0</v>
      </c>
      <c r="F36" s="107">
        <f>D36*E36</f>
        <v>0</v>
      </c>
    </row>
    <row ht="13.5" customHeight="1" r="37" spans="1:6">
      <c r="A37" s="15" t="s">
        <v>735</v>
      </c>
      <c r="B37" s="15" t="s">
        <v>723</v>
      </c>
      <c r="C37" s="76" t="s">
        <v>724</v>
      </c>
      <c r="D37" s="39">
        <v>2.12</v>
      </c>
      <c r="E37" s="104">
        <v>0</v>
      </c>
      <c r="F37" s="107">
        <f>D37*E37</f>
        <v>0</v>
      </c>
    </row>
    <row ht="13.5" customHeight="1" r="38" spans="1:6">
      <c r="A38" s="15" t="s">
        <v>736</v>
      </c>
      <c r="B38" s="15" t="s">
        <v>723</v>
      </c>
      <c r="C38" s="76" t="s">
        <v>724</v>
      </c>
      <c r="D38" s="39">
        <v>1.7</v>
      </c>
      <c r="E38" s="104">
        <v>1</v>
      </c>
      <c r="F38" s="107">
        <f>D38*E38</f>
        <v>1.7</v>
      </c>
    </row>
    <row ht="13.5" customHeight="1" r="39" spans="1:6">
      <c r="A39" s="15" t="s">
        <v>737</v>
      </c>
      <c r="B39" s="15"/>
      <c r="C39" s="76" t="s">
        <v>724</v>
      </c>
      <c r="D39" s="39">
        <v>5.67</v>
      </c>
      <c r="E39" s="104">
        <v>0</v>
      </c>
      <c r="F39" s="107">
        <f>D39*E39</f>
        <v>0</v>
      </c>
    </row>
    <row ht="13.5" customHeight="1" r="40" spans="1:6">
      <c r="A40" s="15" t="s">
        <v>738</v>
      </c>
      <c r="B40" s="15"/>
      <c r="C40" s="76" t="s">
        <v>77</v>
      </c>
      <c r="D40" s="39">
        <v>14.51</v>
      </c>
      <c r="E40" s="104">
        <v>0</v>
      </c>
      <c r="F40" s="107">
        <f>D40*E40</f>
        <v>0</v>
      </c>
    </row>
    <row ht="13.5" customHeight="1" r="41" spans="1:6">
      <c r="A41" s="15" t="s">
        <v>739</v>
      </c>
      <c r="B41" s="15"/>
      <c r="C41" s="76" t="s">
        <v>29</v>
      </c>
      <c r="D41" s="39">
        <v>8.43</v>
      </c>
      <c r="E41" s="104">
        <v>0</v>
      </c>
      <c r="F41" s="107">
        <f>D41*E41</f>
        <v>0</v>
      </c>
    </row>
    <row ht="13.5" customHeight="1" r="42" spans="1:6">
      <c r="A42" s="15" t="s">
        <v>740</v>
      </c>
      <c r="B42" s="15"/>
      <c r="C42" s="76" t="s">
        <v>741</v>
      </c>
      <c r="D42" s="39">
        <v>0.95</v>
      </c>
      <c r="E42" s="104">
        <v>0</v>
      </c>
      <c r="F42" s="107">
        <f>D42*E42</f>
        <v>0</v>
      </c>
    </row>
    <row ht="13.5" customHeight="1" r="43" spans="1:6">
      <c r="A43" s="15" t="s">
        <v>742</v>
      </c>
      <c r="B43" s="15"/>
      <c r="C43" s="76" t="s">
        <v>743</v>
      </c>
      <c r="D43" s="39">
        <v>12.23</v>
      </c>
      <c r="E43" s="104">
        <v>0</v>
      </c>
      <c r="F43" s="107">
        <f>D43*E43</f>
        <v>0</v>
      </c>
    </row>
    <row ht="13.5" customHeight="1" r="44" spans="1:6">
      <c r="A44" s="15" t="s">
        <v>744</v>
      </c>
      <c r="B44" s="15" t="s">
        <v>745</v>
      </c>
      <c r="C44" s="76" t="s">
        <v>98</v>
      </c>
      <c r="D44" s="39">
        <v>2.67</v>
      </c>
      <c r="E44" s="104">
        <v>0</v>
      </c>
      <c r="F44" s="107">
        <f>D44*E44</f>
        <v>0</v>
      </c>
    </row>
    <row ht="13.5" customHeight="1" r="45" spans="1:6">
      <c r="A45" s="15" t="s">
        <v>746</v>
      </c>
      <c r="B45" s="15" t="s">
        <v>745</v>
      </c>
      <c r="C45" s="76" t="s">
        <v>662</v>
      </c>
      <c r="D45" s="39">
        <v>0.64</v>
      </c>
      <c r="E45" s="104">
        <v>0</v>
      </c>
      <c r="F45" s="107">
        <f>D45*E45</f>
        <v>0</v>
      </c>
    </row>
    <row ht="13.5" customHeight="1" r="46" spans="1:6">
      <c r="A46" s="15" t="s">
        <v>747</v>
      </c>
      <c r="B46" s="15"/>
      <c r="C46" s="76" t="s">
        <v>98</v>
      </c>
      <c r="D46" s="39">
        <v>2.67</v>
      </c>
      <c r="E46" s="104">
        <v>0</v>
      </c>
      <c r="F46" s="107">
        <f>D46*E46</f>
        <v>0</v>
      </c>
    </row>
    <row ht="13.5" customHeight="1" r="47" spans="1:6">
      <c r="A47" s="15" t="s">
        <v>748</v>
      </c>
      <c r="B47" s="15" t="s">
        <v>749</v>
      </c>
      <c r="C47" s="76" t="s">
        <v>118</v>
      </c>
      <c r="D47" s="39">
        <v>16.44</v>
      </c>
      <c r="E47" s="104">
        <v>0</v>
      </c>
      <c r="F47" s="107">
        <f>D47*E47</f>
        <v>0</v>
      </c>
    </row>
    <row ht="13.5" customHeight="1" r="48" spans="1:6">
      <c r="A48" s="15" t="s">
        <v>750</v>
      </c>
      <c r="B48" s="15" t="s">
        <v>708</v>
      </c>
      <c r="C48" s="76" t="s">
        <v>336</v>
      </c>
      <c r="D48" s="39">
        <v>1.31</v>
      </c>
      <c r="E48" s="104">
        <v>0</v>
      </c>
      <c r="F48" s="107">
        <f>D48*E48</f>
        <v>0</v>
      </c>
    </row>
    <row ht="13.5" customHeight="1" r="49" spans="1:9">
      <c r="A49" s="58" t="s">
        <v>751</v>
      </c>
      <c r="B49" s="58" t="s">
        <v>29</v>
      </c>
      <c r="C49" s="85" t="s">
        <v>336</v>
      </c>
      <c r="D49" s="59">
        <v>1.38</v>
      </c>
      <c r="E49" s="104">
        <v>15</v>
      </c>
      <c r="F49" s="107">
        <f>D49*E49</f>
        <v>20.7</v>
      </c>
    </row>
    <row ht="13.5" customHeight="1" r="50" spans="1:9">
      <c r="A50" s="15" t="s">
        <v>752</v>
      </c>
      <c r="B50" s="15" t="s">
        <v>753</v>
      </c>
      <c r="C50" s="76" t="s">
        <v>98</v>
      </c>
      <c r="D50" s="39">
        <v>0.55</v>
      </c>
      <c r="E50" s="104"/>
      <c r="F50" s="107">
        <f>D50*E50</f>
        <v>0</v>
      </c>
    </row>
    <row ht="13.5" customHeight="1" r="51" spans="1:9">
      <c r="A51" s="15" t="s">
        <v>754</v>
      </c>
      <c r="B51" s="15"/>
      <c r="C51" s="76" t="s">
        <v>596</v>
      </c>
      <c r="D51" s="39">
        <v>2.08</v>
      </c>
      <c r="E51" s="104">
        <v>0</v>
      </c>
      <c r="F51" s="107">
        <f>D51*E51</f>
        <v>0</v>
      </c>
    </row>
    <row ht="13.5" customHeight="1" r="52" spans="1:9">
      <c r="A52" s="15" t="s">
        <v>755</v>
      </c>
      <c r="B52" s="15"/>
      <c r="C52" s="76" t="s">
        <v>756</v>
      </c>
      <c r="D52" s="39">
        <v>1.53</v>
      </c>
      <c r="E52" s="104">
        <v>0</v>
      </c>
      <c r="F52" s="107">
        <f>D52*E52</f>
        <v>0</v>
      </c>
    </row>
    <row ht="13.5" customHeight="1" r="53" spans="1:9">
      <c r="A53" s="15" t="s">
        <v>757</v>
      </c>
      <c r="B53" s="15"/>
      <c r="C53" s="76" t="s">
        <v>706</v>
      </c>
      <c r="D53" s="39">
        <v>8.46</v>
      </c>
      <c r="E53" s="104">
        <v>2</v>
      </c>
      <c r="F53" s="107">
        <f>D53*E53</f>
        <v>16.92</v>
      </c>
    </row>
    <row ht="13.5" customHeight="1" r="54" spans="1:9">
      <c r="A54" s="15" t="s">
        <v>758</v>
      </c>
      <c r="B54" s="15"/>
      <c r="C54" s="76" t="s">
        <v>691</v>
      </c>
      <c r="D54" s="39">
        <v>3.5</v>
      </c>
      <c r="E54" s="104">
        <v>0</v>
      </c>
      <c r="F54" s="107">
        <f>D54*E54</f>
        <v>0</v>
      </c>
    </row>
    <row ht="13.5" customHeight="1" r="55" spans="1:9">
      <c r="A55" s="15" t="s">
        <v>759</v>
      </c>
      <c r="B55" s="15"/>
      <c r="C55" s="76" t="s">
        <v>569</v>
      </c>
      <c r="D55" s="39">
        <v>1.85</v>
      </c>
      <c r="E55" s="104">
        <v>0</v>
      </c>
      <c r="F55" s="107">
        <f>D55*E55</f>
        <v>0</v>
      </c>
    </row>
    <row ht="13.5" customHeight="1" r="56" spans="1:9">
      <c r="A56" s="15" t="s">
        <v>760</v>
      </c>
      <c r="B56" s="15" t="s">
        <v>753</v>
      </c>
      <c r="C56" s="76" t="s">
        <v>336</v>
      </c>
      <c r="D56" s="39">
        <v>1.74</v>
      </c>
      <c r="E56" s="104">
        <v>0</v>
      </c>
      <c r="F56" s="107">
        <f>D56*E56</f>
        <v>0</v>
      </c>
    </row>
    <row ht="13.5" customHeight="1" r="57" spans="1:9">
      <c r="A57" s="15" t="s">
        <v>761</v>
      </c>
      <c r="B57" s="15" t="s">
        <v>753</v>
      </c>
      <c r="C57" s="76" t="s">
        <v>706</v>
      </c>
      <c r="D57" s="39">
        <v>11.46</v>
      </c>
      <c r="E57" s="104">
        <v>0</v>
      </c>
      <c r="F57" s="107">
        <f>D57*E57</f>
        <v>0</v>
      </c>
    </row>
    <row ht="13.5" customHeight="1" r="58" spans="1:9">
      <c r="A58" s="15" t="s">
        <v>762</v>
      </c>
      <c r="B58" s="15" t="s">
        <v>596</v>
      </c>
      <c r="C58" s="76" t="s">
        <v>336</v>
      </c>
      <c r="D58" s="39">
        <v>0.7</v>
      </c>
      <c r="E58" s="104">
        <v>0</v>
      </c>
      <c r="F58" s="107">
        <f>D58*E58</f>
        <v>0</v>
      </c>
    </row>
    <row ht="13.5" customHeight="1" r="59" spans="1:9">
      <c r="A59" s="15" t="s">
        <v>763</v>
      </c>
      <c r="B59" s="15" t="s">
        <v>708</v>
      </c>
      <c r="C59" s="76" t="s">
        <v>98</v>
      </c>
      <c r="D59" s="39">
        <v>7.5</v>
      </c>
      <c r="E59" s="104">
        <v>0</v>
      </c>
      <c r="F59" s="107">
        <f>D59*E59</f>
        <v>0</v>
      </c>
    </row>
    <row ht="13.5" customHeight="1" r="60" spans="1:9">
      <c r="A60" s="15" t="s">
        <v>764</v>
      </c>
      <c r="B60" s="15" t="s">
        <v>708</v>
      </c>
      <c r="C60" s="76" t="s">
        <v>98</v>
      </c>
      <c r="D60" s="39">
        <v>8.16</v>
      </c>
      <c r="E60" s="104">
        <v>0</v>
      </c>
      <c r="F60" s="107">
        <f>D60*E60</f>
        <v>0</v>
      </c>
      <c r="I60" s="104"/>
    </row>
    <row ht="13.5" customHeight="1" r="61" spans="1:9">
      <c r="A61" s="15" t="s">
        <v>765</v>
      </c>
      <c r="B61" s="15" t="s">
        <v>749</v>
      </c>
      <c r="C61" s="76" t="s">
        <v>77</v>
      </c>
      <c r="D61" s="39">
        <v>14.51</v>
      </c>
      <c r="E61" s="104"/>
      <c r="F61" s="107">
        <f>D61*E61</f>
        <v>0</v>
      </c>
    </row>
    <row ht="13.5" customHeight="1" r="62" spans="1:9">
      <c r="A62" s="15" t="s">
        <v>766</v>
      </c>
      <c r="B62" s="15" t="s">
        <v>767</v>
      </c>
      <c r="C62" s="76" t="s">
        <v>336</v>
      </c>
      <c r="D62" s="39">
        <v>1.04</v>
      </c>
      <c r="E62" s="104"/>
      <c r="F62" s="107">
        <f>D62*E62</f>
        <v>0</v>
      </c>
    </row>
    <row ht="13.5" customHeight="1" r="63" spans="1:9">
      <c r="A63" s="15" t="s">
        <v>768</v>
      </c>
      <c r="B63" s="15"/>
      <c r="C63" s="76" t="s">
        <v>769</v>
      </c>
      <c r="D63" s="39">
        <v>1.95</v>
      </c>
      <c r="E63" s="104">
        <v>0</v>
      </c>
      <c r="F63" s="107">
        <f>D63*E63</f>
        <v>0</v>
      </c>
    </row>
    <row ht="13.5" customHeight="1" r="64" spans="1:9">
      <c r="A64" s="15" t="s">
        <v>770</v>
      </c>
      <c r="B64" s="15"/>
      <c r="C64" s="76" t="s">
        <v>145</v>
      </c>
      <c r="D64" s="39">
        <v>10.08</v>
      </c>
      <c r="E64" s="104"/>
      <c r="F64" s="107">
        <f>D64*E64</f>
        <v>0</v>
      </c>
    </row>
    <row ht="13.5" customHeight="1" r="65" spans="1:6">
      <c r="A65" s="15" t="s">
        <v>771</v>
      </c>
      <c r="B65" s="15" t="s">
        <v>708</v>
      </c>
      <c r="C65" s="76" t="s">
        <v>772</v>
      </c>
      <c r="D65" s="39">
        <v>4.6</v>
      </c>
      <c r="E65" s="104">
        <v>1</v>
      </c>
      <c r="F65" s="107">
        <f>D65*E65</f>
        <v>4.6</v>
      </c>
    </row>
    <row ht="13.5" customHeight="1" r="66" spans="1:6">
      <c r="A66" s="15" t="s">
        <v>773</v>
      </c>
      <c r="B66" s="15" t="s">
        <v>708</v>
      </c>
      <c r="C66" s="76" t="s">
        <v>77</v>
      </c>
      <c r="D66" s="39">
        <v>8.88</v>
      </c>
      <c r="E66" s="104">
        <v>3</v>
      </c>
      <c r="F66" s="107">
        <f>D66*E66</f>
        <v>26.64</v>
      </c>
    </row>
    <row ht="13.5" customHeight="1" r="67" spans="1:6">
      <c r="A67" s="15" t="s">
        <v>774</v>
      </c>
      <c r="B67" s="15" t="s">
        <v>775</v>
      </c>
      <c r="C67" s="76" t="s">
        <v>98</v>
      </c>
      <c r="D67" s="39">
        <v>1.24</v>
      </c>
      <c r="E67" s="104"/>
      <c r="F67" s="107">
        <f>D67*E67</f>
        <v>0</v>
      </c>
    </row>
    <row ht="13.5" customHeight="1" r="68" spans="1:6">
      <c r="A68" s="15" t="s">
        <v>776</v>
      </c>
      <c r="B68" s="15" t="s">
        <v>708</v>
      </c>
      <c r="C68" s="76" t="s">
        <v>336</v>
      </c>
      <c r="D68" s="39">
        <v>1.27</v>
      </c>
      <c r="E68" s="104"/>
      <c r="F68" s="107">
        <f>D68*E68</f>
        <v>0</v>
      </c>
    </row>
    <row ht="13.5" customHeight="1" r="69" spans="1:6">
      <c r="A69" s="15" t="s">
        <v>777</v>
      </c>
      <c r="B69" s="15" t="s">
        <v>596</v>
      </c>
      <c r="C69" s="76" t="s">
        <v>336</v>
      </c>
      <c r="D69" s="39">
        <v>2</v>
      </c>
      <c r="E69" s="104">
        <v>0</v>
      </c>
      <c r="F69" s="107">
        <f>D69*E69</f>
        <v>0</v>
      </c>
    </row>
    <row ht="13.5" customHeight="1" r="70" spans="1:6">
      <c r="A70" s="15" t="s">
        <v>778</v>
      </c>
      <c r="B70" s="15" t="s">
        <v>596</v>
      </c>
      <c r="C70" s="76" t="s">
        <v>596</v>
      </c>
      <c r="D70" s="39">
        <v>0.99</v>
      </c>
      <c r="E70" s="104"/>
      <c r="F70" s="107">
        <f>D70*E70</f>
        <v>0</v>
      </c>
    </row>
    <row ht="13.5" customHeight="1" r="71" spans="1:6">
      <c r="A71" s="15" t="s">
        <v>779</v>
      </c>
      <c r="B71" s="15" t="s">
        <v>596</v>
      </c>
      <c r="C71" s="76" t="s">
        <v>336</v>
      </c>
      <c r="D71" s="39">
        <v>0.55</v>
      </c>
      <c r="E71" s="104"/>
      <c r="F71" s="107">
        <f>D71*E71</f>
        <v>0</v>
      </c>
    </row>
    <row ht="13.5" customHeight="1" r="72" spans="1:6">
      <c r="A72" s="15" t="s">
        <v>780</v>
      </c>
      <c r="B72" s="15" t="s">
        <v>596</v>
      </c>
      <c r="C72" s="76" t="s">
        <v>336</v>
      </c>
      <c r="D72" s="39">
        <v>1.76</v>
      </c>
      <c r="E72" s="104">
        <v>0</v>
      </c>
      <c r="F72" s="107">
        <f>D72*E72</f>
        <v>0</v>
      </c>
    </row>
    <row ht="13.5" customHeight="1" r="73" spans="1:6">
      <c r="A73" s="15" t="s">
        <v>781</v>
      </c>
      <c r="B73" s="15" t="s">
        <v>596</v>
      </c>
      <c r="C73" s="76" t="s">
        <v>36</v>
      </c>
      <c r="D73" s="39">
        <v>9.67</v>
      </c>
      <c r="E73" s="104">
        <v>1</v>
      </c>
      <c r="F73" s="107">
        <f>D73*E73</f>
        <v>9.67</v>
      </c>
    </row>
    <row ht="13.5" customHeight="1" r="74" spans="1:6">
      <c r="A74" s="15" t="s">
        <v>782</v>
      </c>
      <c r="B74" s="15" t="s">
        <v>596</v>
      </c>
      <c r="C74" s="76" t="s">
        <v>336</v>
      </c>
      <c r="D74" s="39">
        <v>0.98</v>
      </c>
      <c r="E74" s="104">
        <v>0</v>
      </c>
      <c r="F74" s="107">
        <f>D74*E74</f>
        <v>0</v>
      </c>
    </row>
    <row ht="13.5" customHeight="1" r="75" spans="1:6">
      <c r="A75" s="15" t="s">
        <v>783</v>
      </c>
      <c r="B75" s="15" t="s">
        <v>596</v>
      </c>
      <c r="C75" s="76" t="s">
        <v>98</v>
      </c>
      <c r="D75" s="39">
        <v>1.12</v>
      </c>
      <c r="E75" s="104">
        <v>0</v>
      </c>
      <c r="F75" s="107">
        <f>D75*E75</f>
        <v>0</v>
      </c>
    </row>
    <row ht="13.5" customHeight="1" r="76" spans="1:6">
      <c r="A76" s="15" t="s">
        <v>784</v>
      </c>
      <c r="B76" s="15"/>
      <c r="C76" s="76" t="s">
        <v>34</v>
      </c>
      <c r="D76" s="39">
        <v>13.19</v>
      </c>
      <c r="E76" s="104">
        <v>0</v>
      </c>
      <c r="F76" s="107">
        <f>D76*E76</f>
        <v>0</v>
      </c>
    </row>
    <row ht="13.5" customHeight="1" r="77" spans="1:6">
      <c r="A77" s="15" t="s">
        <v>785</v>
      </c>
      <c r="B77" s="15" t="s">
        <v>786</v>
      </c>
      <c r="C77" s="76" t="s">
        <v>98</v>
      </c>
      <c r="D77" s="39">
        <v>3.08</v>
      </c>
      <c r="E77" s="104">
        <v>0</v>
      </c>
      <c r="F77" s="107">
        <f>D77*E77</f>
        <v>0</v>
      </c>
    </row>
    <row ht="13.5" customHeight="1" r="78" spans="1:6">
      <c r="A78" s="15" t="s">
        <v>787</v>
      </c>
      <c r="B78" s="15" t="s">
        <v>298</v>
      </c>
      <c r="C78" s="76" t="s">
        <v>788</v>
      </c>
      <c r="D78" s="39">
        <v>8.89</v>
      </c>
      <c r="E78" s="104">
        <v>0</v>
      </c>
      <c r="F78" s="107">
        <f>D78*E78</f>
        <v>0</v>
      </c>
    </row>
    <row ht="13.5" customHeight="1" r="79" spans="1:6">
      <c r="A79" s="15" t="s">
        <v>789</v>
      </c>
      <c r="B79" s="15"/>
      <c r="C79" s="76" t="s">
        <v>790</v>
      </c>
      <c r="D79" s="39">
        <v>0.18</v>
      </c>
      <c r="E79" s="104">
        <v>0</v>
      </c>
      <c r="F79" s="107">
        <f>D79*E79</f>
        <v>0</v>
      </c>
    </row>
    <row ht="13.5" customHeight="1" r="80" spans="1:6">
      <c r="A80" s="15" t="s">
        <v>791</v>
      </c>
      <c r="B80" s="15" t="s">
        <v>792</v>
      </c>
      <c r="C80" s="76" t="s">
        <v>793</v>
      </c>
      <c r="D80" s="39">
        <v>18</v>
      </c>
      <c r="E80" s="104">
        <v>0.3</v>
      </c>
      <c r="F80" s="107">
        <f>D80*E80</f>
        <v>5.4</v>
      </c>
    </row>
    <row ht="13.5" customHeight="1" r="81" spans="1:6">
      <c r="A81" s="15" t="s">
        <v>794</v>
      </c>
      <c r="B81" s="15" t="s">
        <v>792</v>
      </c>
      <c r="C81" s="76" t="s">
        <v>795</v>
      </c>
      <c r="D81" s="39">
        <v>17.41</v>
      </c>
      <c r="E81" s="104">
        <v>0.5</v>
      </c>
      <c r="F81" s="107">
        <f>D81*E81</f>
        <v>8.705</v>
      </c>
    </row>
    <row ht="13.5" customHeight="1" r="82" spans="1:6">
      <c r="A82" s="15" t="s">
        <v>796</v>
      </c>
      <c r="B82" s="15"/>
      <c r="C82" s="76" t="s">
        <v>724</v>
      </c>
      <c r="D82" s="39">
        <v>0.6</v>
      </c>
      <c r="E82" s="104">
        <v>0</v>
      </c>
      <c r="F82" s="107">
        <f>D82*E82</f>
        <v>0</v>
      </c>
    </row>
    <row ht="13.5" customHeight="1" r="83" spans="1:6">
      <c r="A83" s="15" t="s">
        <v>797</v>
      </c>
      <c r="B83" s="15" t="s">
        <v>798</v>
      </c>
      <c r="C83" s="76" t="s">
        <v>98</v>
      </c>
      <c r="D83" s="39">
        <v>1.29</v>
      </c>
      <c r="E83" s="104">
        <v>4</v>
      </c>
      <c r="F83" s="107">
        <f>D83*E83</f>
        <v>5.16</v>
      </c>
    </row>
    <row ht="13.5" customHeight="1" r="84" spans="1:6">
      <c r="A84" s="15" t="s">
        <v>799</v>
      </c>
      <c r="B84" s="15"/>
      <c r="C84" s="76" t="s">
        <v>98</v>
      </c>
      <c r="D84" s="39">
        <v>2.78</v>
      </c>
      <c r="E84" s="104">
        <v>0</v>
      </c>
      <c r="F84" s="107">
        <f>D84*E84</f>
        <v>0</v>
      </c>
    </row>
    <row ht="13.5" customHeight="1" r="85" spans="1:6">
      <c r="A85" s="15" t="s">
        <v>800</v>
      </c>
      <c r="B85" s="15"/>
      <c r="C85" s="76" t="s">
        <v>77</v>
      </c>
      <c r="D85" s="39">
        <v>9.48</v>
      </c>
      <c r="E85" s="104">
        <v>0</v>
      </c>
      <c r="F85" s="107">
        <f>D85*E85</f>
        <v>0</v>
      </c>
    </row>
    <row ht="13.5" customHeight="1" r="86" spans="1:6">
      <c r="A86" s="15" t="s">
        <v>801</v>
      </c>
      <c r="B86" s="15" t="s">
        <v>775</v>
      </c>
      <c r="C86" s="76" t="s">
        <v>795</v>
      </c>
      <c r="D86" s="39">
        <v>12.61</v>
      </c>
      <c r="E86" s="104">
        <v>0.4</v>
      </c>
      <c r="F86" s="107">
        <f>D86*E86</f>
        <v>5.044</v>
      </c>
    </row>
    <row ht="13.5" customHeight="1" r="87" spans="1:6">
      <c r="A87" s="15" t="s">
        <v>802</v>
      </c>
      <c r="B87" s="15" t="s">
        <v>749</v>
      </c>
      <c r="C87" s="76" t="s">
        <v>29</v>
      </c>
      <c r="D87" s="39">
        <v>2.95</v>
      </c>
      <c r="E87" s="104">
        <v>0</v>
      </c>
      <c r="F87" s="107">
        <f>D87*E87</f>
        <v>0</v>
      </c>
    </row>
    <row ht="13.5" customHeight="1" r="88" spans="1:6">
      <c r="A88" s="15" t="s">
        <v>803</v>
      </c>
      <c r="B88" s="15" t="s">
        <v>804</v>
      </c>
      <c r="C88" s="76" t="s">
        <v>98</v>
      </c>
      <c r="D88" s="39">
        <v>2.23</v>
      </c>
      <c r="E88" s="104"/>
      <c r="F88" s="107">
        <f>D88*E88</f>
        <v>0</v>
      </c>
    </row>
    <row ht="13.5" customHeight="1" r="89" spans="1:6">
      <c r="A89" s="15" t="s">
        <v>805</v>
      </c>
      <c r="B89" s="15"/>
      <c r="C89" s="76" t="s">
        <v>77</v>
      </c>
      <c r="D89" s="39">
        <v>16.92</v>
      </c>
      <c r="E89" s="104">
        <v>0.5</v>
      </c>
      <c r="F89" s="107">
        <f>D89*E89</f>
        <v>8.46</v>
      </c>
    </row>
    <row ht="13.5" customHeight="1" r="90" spans="1:6">
      <c r="A90" s="15" t="s">
        <v>806</v>
      </c>
      <c r="B90" s="15" t="s">
        <v>804</v>
      </c>
      <c r="C90" s="76" t="s">
        <v>98</v>
      </c>
      <c r="D90" s="39">
        <v>2.31</v>
      </c>
      <c r="E90" s="104">
        <v>0</v>
      </c>
      <c r="F90" s="107">
        <f>D90*E90</f>
        <v>0</v>
      </c>
    </row>
    <row ht="13.5" customHeight="1" r="91" spans="1:6">
      <c r="A91" s="15" t="s">
        <v>807</v>
      </c>
      <c r="B91" s="15"/>
      <c r="C91" s="76" t="s">
        <v>98</v>
      </c>
      <c r="D91" s="39">
        <v>2.49</v>
      </c>
      <c r="E91" s="104">
        <v>0</v>
      </c>
      <c r="F91" s="107">
        <f>D91*E91</f>
        <v>0</v>
      </c>
    </row>
    <row ht="13.5" customHeight="1" r="92" spans="1:6">
      <c r="A92" s="15" t="s">
        <v>808</v>
      </c>
      <c r="B92" s="15"/>
      <c r="C92" s="76" t="s">
        <v>230</v>
      </c>
      <c r="D92" s="39">
        <v>15.28</v>
      </c>
      <c r="E92" s="104">
        <v>2</v>
      </c>
      <c r="F92" s="107">
        <f>D92*E92</f>
        <v>30.56</v>
      </c>
    </row>
    <row ht="13.5" customHeight="1" r="93" spans="1:6">
      <c r="A93" s="15" t="s">
        <v>809</v>
      </c>
      <c r="B93" s="15" t="s">
        <v>810</v>
      </c>
      <c r="C93" s="76" t="s">
        <v>230</v>
      </c>
      <c r="D93" s="39">
        <v>11.61</v>
      </c>
      <c r="E93" s="104"/>
      <c r="F93" s="107">
        <f>D93*E93</f>
        <v>0</v>
      </c>
    </row>
    <row ht="13.5" customHeight="1" r="94" spans="1:6">
      <c r="A94" s="15" t="s">
        <v>811</v>
      </c>
      <c r="B94" s="15" t="s">
        <v>798</v>
      </c>
      <c r="C94" s="76" t="s">
        <v>812</v>
      </c>
      <c r="D94" s="39">
        <v>12.5</v>
      </c>
      <c r="E94" s="104"/>
      <c r="F94" s="107">
        <f>D94*E94</f>
        <v>0</v>
      </c>
    </row>
    <row ht="13.5" customHeight="1" r="95" spans="1:6">
      <c r="A95" s="15" t="s">
        <v>813</v>
      </c>
      <c r="B95" s="15"/>
      <c r="C95" s="76" t="s">
        <v>77</v>
      </c>
      <c r="D95" s="39">
        <v>9.4</v>
      </c>
      <c r="E95" s="104"/>
      <c r="F95" s="107">
        <f>D95*E95</f>
        <v>0</v>
      </c>
    </row>
    <row ht="13.5" customHeight="1" r="96" spans="1:6">
      <c r="A96" s="15" t="s">
        <v>814</v>
      </c>
      <c r="B96" s="15" t="s">
        <v>798</v>
      </c>
      <c r="C96" s="76" t="s">
        <v>706</v>
      </c>
      <c r="D96" s="39">
        <v>24.33</v>
      </c>
      <c r="E96" s="104">
        <v>0</v>
      </c>
      <c r="F96" s="107">
        <f>D96*E96</f>
        <v>0</v>
      </c>
    </row>
    <row ht="13.5" customHeight="1" r="97" spans="1:6">
      <c r="A97" s="15" t="s">
        <v>815</v>
      </c>
      <c r="B97" s="15" t="s">
        <v>816</v>
      </c>
      <c r="C97" s="76" t="s">
        <v>77</v>
      </c>
      <c r="D97" s="39">
        <v>9.95</v>
      </c>
      <c r="E97" s="104">
        <v>0</v>
      </c>
      <c r="F97" s="107">
        <f>D97*E97</f>
        <v>0</v>
      </c>
    </row>
    <row ht="13.5" customHeight="1" r="98" spans="1:6">
      <c r="A98" s="40" t="s">
        <v>817</v>
      </c>
      <c r="B98" s="15"/>
      <c r="C98" s="86" t="s">
        <v>298</v>
      </c>
      <c r="D98" s="87">
        <v>4.6</v>
      </c>
      <c r="E98" s="106"/>
      <c r="F98" s="112">
        <f>D98*E98</f>
        <v>0</v>
      </c>
    </row>
    <row ht="13.5" customHeight="1" r="99" spans="1:6">
      <c r="A99" s="15" t="s">
        <v>818</v>
      </c>
      <c r="B99" s="15"/>
      <c r="C99" s="76" t="s">
        <v>77</v>
      </c>
      <c r="D99" s="39">
        <v>19.56</v>
      </c>
      <c r="E99" s="104">
        <v>1</v>
      </c>
      <c r="F99" s="107">
        <f>D99*E99</f>
        <v>19.56</v>
      </c>
    </row>
    <row ht="13.5" customHeight="1" r="100" spans="1:6">
      <c r="A100" s="15" t="s">
        <v>819</v>
      </c>
      <c r="B100" s="15"/>
      <c r="C100" s="76" t="s">
        <v>98</v>
      </c>
      <c r="D100" s="39">
        <v>2.32</v>
      </c>
      <c r="E100" s="104">
        <v>5</v>
      </c>
      <c r="F100" s="107">
        <f>D100*E100</f>
        <v>11.6</v>
      </c>
    </row>
    <row ht="13.5" customHeight="1" r="101" spans="1:6">
      <c r="A101" s="15" t="s">
        <v>820</v>
      </c>
      <c r="B101" s="15"/>
      <c r="C101" s="76" t="s">
        <v>336</v>
      </c>
      <c r="D101" s="39">
        <v>2.05</v>
      </c>
      <c r="E101" s="104">
        <v>0</v>
      </c>
      <c r="F101" s="107">
        <f>D101*E101</f>
        <v>0</v>
      </c>
    </row>
    <row ht="13.5" customHeight="1" r="102" spans="1:6">
      <c r="A102" s="15" t="s">
        <v>821</v>
      </c>
      <c r="B102" s="15" t="s">
        <v>822</v>
      </c>
      <c r="C102" s="76" t="s">
        <v>724</v>
      </c>
      <c r="D102" s="39">
        <v>1.78</v>
      </c>
      <c r="E102" s="104">
        <v>0</v>
      </c>
      <c r="F102" s="107">
        <f>D102*E102</f>
        <v>0</v>
      </c>
    </row>
    <row ht="13.5" customHeight="1" r="103" spans="1:6">
      <c r="A103" s="15" t="s">
        <v>823</v>
      </c>
      <c r="B103" s="15" t="s">
        <v>824</v>
      </c>
      <c r="C103" s="76" t="s">
        <v>29</v>
      </c>
      <c r="D103" s="39">
        <v>10.5</v>
      </c>
      <c r="E103" s="104">
        <v>0</v>
      </c>
      <c r="F103" s="107">
        <f>D103*E103</f>
        <v>0</v>
      </c>
    </row>
    <row ht="13.5" customHeight="1" r="104" spans="1:6">
      <c r="A104" s="15" t="s">
        <v>825</v>
      </c>
      <c r="B104" s="15"/>
      <c r="C104" s="76" t="s">
        <v>367</v>
      </c>
      <c r="D104" s="39">
        <v>1.85</v>
      </c>
      <c r="E104" s="104">
        <v>0</v>
      </c>
      <c r="F104" s="107">
        <f>D104*E104</f>
        <v>0</v>
      </c>
    </row>
    <row ht="13.5" customHeight="1" r="105" spans="1:6">
      <c r="A105" s="15" t="s">
        <v>825</v>
      </c>
      <c r="B105" s="15"/>
      <c r="C105" s="76" t="s">
        <v>36</v>
      </c>
      <c r="D105" s="39">
        <v>4</v>
      </c>
      <c r="E105" s="104"/>
      <c r="F105" s="107">
        <f>D105*E105</f>
        <v>0</v>
      </c>
    </row>
    <row ht="13.5" customHeight="1" r="106" spans="1:6">
      <c r="A106" s="15" t="s">
        <v>826</v>
      </c>
      <c r="B106" s="15"/>
      <c r="C106" s="76" t="s">
        <v>29</v>
      </c>
      <c r="D106" s="39">
        <v>7.15</v>
      </c>
      <c r="E106" s="104">
        <v>0</v>
      </c>
      <c r="F106" s="107">
        <f>D106*E106</f>
        <v>0</v>
      </c>
    </row>
    <row ht="13.5" customHeight="1" r="107" spans="1:6">
      <c r="A107" s="15" t="s">
        <v>827</v>
      </c>
      <c r="B107" s="15"/>
      <c r="C107" s="76" t="s">
        <v>324</v>
      </c>
      <c r="D107" s="39">
        <v>13.5</v>
      </c>
      <c r="E107" s="104">
        <v>0</v>
      </c>
      <c r="F107" s="107">
        <f>D107*E107</f>
        <v>0</v>
      </c>
    </row>
    <row ht="13.5" customHeight="1" r="108" spans="1:6">
      <c r="A108" s="15" t="s">
        <v>828</v>
      </c>
      <c r="B108" s="15" t="s">
        <v>596</v>
      </c>
      <c r="C108" s="76" t="s">
        <v>336</v>
      </c>
      <c r="D108" s="39">
        <v>0.83</v>
      </c>
      <c r="E108" s="104">
        <v>0</v>
      </c>
      <c r="F108" s="107">
        <f>D108*E108</f>
        <v>0</v>
      </c>
    </row>
    <row ht="13.5" customHeight="1" r="109" spans="1:6">
      <c r="A109" s="15" t="s">
        <v>829</v>
      </c>
      <c r="B109" s="15"/>
      <c r="C109" s="76" t="s">
        <v>704</v>
      </c>
      <c r="D109" s="39">
        <v>2.72</v>
      </c>
      <c r="E109" s="104">
        <v>0</v>
      </c>
      <c r="F109" s="107">
        <f>D109*E109</f>
        <v>0</v>
      </c>
    </row>
    <row ht="13.5" customHeight="1" r="110" spans="1:6">
      <c r="A110" s="15" t="s">
        <v>830</v>
      </c>
      <c r="B110" s="15" t="s">
        <v>831</v>
      </c>
      <c r="C110" s="76" t="s">
        <v>704</v>
      </c>
      <c r="D110" s="39">
        <v>1.13</v>
      </c>
      <c r="E110" s="104">
        <v>0</v>
      </c>
      <c r="F110" s="107">
        <f>D110*E110</f>
        <v>0</v>
      </c>
    </row>
    <row ht="13.5" customHeight="1" r="111" spans="1:6">
      <c r="A111" s="15" t="s">
        <v>832</v>
      </c>
      <c r="B111" s="15"/>
      <c r="C111" s="76" t="s">
        <v>336</v>
      </c>
      <c r="D111" s="39">
        <v>1.49</v>
      </c>
      <c r="E111" s="104">
        <v>0</v>
      </c>
      <c r="F111" s="107">
        <f>D111*E111</f>
        <v>0</v>
      </c>
    </row>
    <row ht="13.5" customHeight="1" r="112" spans="1:6">
      <c r="A112" s="15" t="s">
        <v>833</v>
      </c>
      <c r="B112" s="15"/>
      <c r="C112" s="76" t="s">
        <v>118</v>
      </c>
      <c r="D112" s="39">
        <v>16.44</v>
      </c>
      <c r="E112" s="104">
        <v>0.4</v>
      </c>
      <c r="F112" s="107">
        <f>D112*E112</f>
        <v>6.576</v>
      </c>
    </row>
    <row ht="13.5" customHeight="1" r="113" spans="1:6">
      <c r="A113" s="15" t="s">
        <v>834</v>
      </c>
      <c r="B113" s="15" t="s">
        <v>708</v>
      </c>
      <c r="C113" s="76" t="s">
        <v>724</v>
      </c>
      <c r="D113" s="39">
        <v>1.79</v>
      </c>
      <c r="E113" s="104"/>
      <c r="F113" s="107">
        <f>D113*E113</f>
        <v>0</v>
      </c>
    </row>
    <row ht="13.5" customHeight="1" r="114" spans="1:6">
      <c r="A114" s="5" t="s">
        <v>341</v>
      </c>
      <c r="B114" s="15"/>
      <c r="C114" s="76"/>
      <c r="D114" s="15"/>
      <c r="E114" s="24"/>
      <c r="F114" s="14">
        <f>SUM(F5:F113)</f>
        <v>234.145</v>
      </c>
    </row>
    <row ht="12" customHeight="1" r="115" spans="1:6"/>
    <row ht="12" customHeight="1" r="116" spans="1:6"/>
    <row ht="12" customHeight="1" r="117" spans="1:6"/>
    <row ht="12" customHeight="1" r="118" spans="1:6"/>
    <row ht="12" customHeight="1" r="119" spans="1:6"/>
    <row ht="12" customHeight="1" r="120" spans="1:6"/>
    <row ht="12" customHeight="1" r="121" spans="1:6"/>
    <row ht="12" customHeight="1" r="122" spans="1:6"/>
    <row ht="12" customHeight="1" r="123" spans="1:6"/>
    <row ht="12" customHeight="1" r="124" spans="1:6"/>
    <row ht="12" customHeight="1" r="125" spans="1:6"/>
    <row ht="12" customHeight="1" r="126" spans="1:6"/>
    <row ht="12" customHeight="1" r="127" spans="1:6"/>
    <row ht="12" customHeight="1" r="128" spans="1:6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2" customHeight="1" r="234"/>
    <row ht="12" customHeight="1" r="235"/>
    <row ht="12" customHeight="1" r="236"/>
    <row ht="12" customHeight="1" r="237"/>
    <row ht="12" customHeight="1" r="238"/>
    <row ht="12" customHeight="1" r="239"/>
    <row ht="12" customHeight="1" r="240"/>
    <row ht="12" customHeight="1" r="241"/>
    <row ht="12" customHeight="1" r="242"/>
    <row ht="12" customHeight="1" r="243"/>
    <row ht="12" customHeight="1" r="244"/>
    <row ht="12" customHeight="1" r="245"/>
    <row ht="12" customHeight="1" r="246"/>
    <row ht="12" customHeight="1" r="247"/>
    <row ht="12" customHeight="1" r="248"/>
    <row ht="12" customHeight="1" r="249"/>
    <row ht="12" customHeight="1" r="250"/>
    <row ht="12" customHeight="1" r="251"/>
    <row ht="12" customHeight="1" r="252"/>
    <row ht="12" customHeight="1" r="253"/>
    <row ht="12" customHeight="1" r="254"/>
    <row ht="12" customHeight="1" r="255"/>
    <row ht="12" customHeight="1" r="256"/>
    <row ht="12" customHeight="1" r="257"/>
    <row ht="12" customHeight="1" r="258"/>
    <row ht="12" customHeight="1" r="259"/>
    <row ht="12" customHeight="1" r="260"/>
    <row ht="12" customHeight="1" r="261"/>
    <row ht="12" customHeight="1" r="262"/>
    <row ht="12" customHeight="1" r="263"/>
    <row ht="12" customHeight="1" r="264"/>
    <row ht="12" customHeight="1" r="265"/>
    <row ht="12" customHeight="1" r="266"/>
    <row ht="12" customHeight="1" r="267"/>
    <row ht="12" customHeight="1" r="268"/>
    <row ht="12" customHeight="1" r="269"/>
    <row ht="12" customHeight="1" r="270"/>
    <row ht="12" customHeight="1" r="271"/>
    <row ht="12" customHeight="1" r="272"/>
    <row ht="12" customHeight="1" r="273"/>
    <row ht="12" customHeight="1" r="274"/>
    <row ht="12" customHeight="1" r="275"/>
    <row ht="12" customHeight="1" r="276"/>
    <row ht="12" customHeight="1" r="277"/>
    <row ht="12" customHeight="1" r="278"/>
    <row ht="12" customHeight="1" r="279"/>
    <row ht="12" customHeight="1" r="280"/>
    <row ht="12" customHeight="1" r="281"/>
    <row ht="12" customHeight="1" r="282"/>
    <row ht="12" customHeight="1" r="283"/>
    <row ht="12" customHeight="1" r="284"/>
    <row ht="12" customHeight="1" r="285"/>
    <row ht="12" customHeight="1" r="286"/>
    <row ht="12" customHeight="1" r="287"/>
    <row ht="12" customHeight="1" r="288"/>
    <row ht="12" customHeight="1" r="289"/>
    <row ht="12" customHeight="1" r="290"/>
    <row ht="12" customHeight="1" r="291"/>
    <row ht="12" customHeight="1" r="292"/>
    <row ht="12" customHeight="1" r="293"/>
    <row ht="12" customHeight="1" r="294"/>
    <row ht="12" customHeight="1" r="295"/>
    <row ht="12" customHeight="1" r="296"/>
    <row ht="12" customHeight="1" r="297"/>
    <row ht="12" customHeight="1" r="298"/>
    <row ht="12" customHeight="1" r="299"/>
    <row ht="12" customHeight="1" r="300"/>
    <row ht="12" customHeight="1" r="301"/>
    <row ht="12" customHeight="1" r="302"/>
    <row ht="12" customHeight="1" r="303"/>
    <row ht="12" customHeight="1" r="304"/>
    <row ht="12" customHeight="1" r="305"/>
    <row ht="12" customHeight="1" r="306"/>
    <row ht="12" customHeight="1" r="307"/>
    <row ht="12" customHeight="1" r="308"/>
    <row ht="12" customHeight="1" r="309"/>
    <row ht="12" customHeight="1" r="310"/>
    <row ht="12" customHeight="1" r="311"/>
    <row ht="12" customHeight="1" r="312"/>
    <row ht="12" customHeight="1" r="313"/>
    <row ht="12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42013888888888901" right="0.47013888888888899" top="1.141805555555556" bottom="1.3570833333333301" header="0" footer="0"/>
  <pageSetup orientation="portrait"/>
  <headerFooter>
    <oddFooter>&amp;L&amp;A&amp;R&amp;D</oddFooter>
  </headerFooter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Views>
    <sheetView workbookViewId="0">
      <selection pane="topLeft" activeCell="A1"/>
    </sheetView>
  </sheetViews>
  <sheetFormatPr baseColWidth="8" defaultColWidth="12.625" defaultRowHeight="15"/>
  <cols>
    <col min="1" max="1" width="31.125" customWidth="1"/>
    <col min="2" max="2" width="9.875" customWidth="1"/>
    <col min="3" max="3" width="11.75" customWidth="1"/>
    <col min="4" max="4" width="8" customWidth="1"/>
    <col min="5" max="5" width="11.75" customWidth="1"/>
    <col min="6" max="6" width="8.5" customWidth="1"/>
  </cols>
  <sheetData>
    <row ht="12" customHeight="1" r="1" spans="1:5">
      <c r="A1" s="1" t="s">
        <v>0</v>
      </c>
      <c r="B1" s="6"/>
      <c r="C1" s="6"/>
      <c r="D1" s="20"/>
      <c r="E1" s="55"/>
    </row>
    <row ht="12" customHeight="1" r="2" spans="1:5">
      <c r="A2" s="9" t="s">
        <v>835</v>
      </c>
      <c r="B2" s="6"/>
      <c r="C2" s="6"/>
      <c r="D2" s="20"/>
      <c r="E2" s="55"/>
    </row>
    <row ht="12" customHeight="1" r="3" spans="1:5">
      <c r="A3" s="22"/>
      <c r="B3" s="6"/>
      <c r="C3" s="6"/>
      <c r="D3" s="20"/>
      <c r="E3" s="55"/>
    </row>
    <row ht="12" customHeight="1" r="4" spans="1:5">
      <c r="A4" s="23" t="s">
        <v>19</v>
      </c>
      <c r="B4" s="23" t="s">
        <v>20</v>
      </c>
      <c r="C4" s="23" t="s">
        <v>21</v>
      </c>
      <c r="D4" s="25" t="s">
        <v>22</v>
      </c>
      <c r="E4" s="25" t="s">
        <v>23</v>
      </c>
    </row>
    <row ht="12" customHeight="1" r="5" spans="1:5">
      <c r="A5" s="58" t="s">
        <v>836</v>
      </c>
      <c r="B5" s="58" t="s">
        <v>526</v>
      </c>
      <c r="C5" s="50">
        <v>19.13</v>
      </c>
      <c r="D5" s="56">
        <v>6</v>
      </c>
      <c r="E5" s="57">
        <f>C5*D5</f>
        <v>114.78</v>
      </c>
    </row>
    <row ht="12" customHeight="1" r="6" spans="1:5">
      <c r="A6" s="58" t="s">
        <v>837</v>
      </c>
      <c r="B6" s="58" t="s">
        <v>526</v>
      </c>
      <c r="C6" s="50">
        <v>16.19</v>
      </c>
      <c r="D6" s="56">
        <v>0</v>
      </c>
      <c r="E6" s="57">
        <f>C6*D6</f>
        <v>0</v>
      </c>
    </row>
    <row ht="12" customHeight="1" r="7" spans="1:5">
      <c r="A7" s="58" t="s">
        <v>838</v>
      </c>
      <c r="B7" s="58" t="s">
        <v>839</v>
      </c>
      <c r="C7" s="50">
        <v>0</v>
      </c>
      <c r="D7" s="56">
        <v>0</v>
      </c>
      <c r="E7" s="57">
        <f>C7*D7</f>
        <v>0</v>
      </c>
    </row>
    <row ht="12" customHeight="1" r="8" spans="1:5">
      <c r="A8" s="58" t="s">
        <v>840</v>
      </c>
      <c r="B8" s="58" t="s">
        <v>841</v>
      </c>
      <c r="C8" s="50">
        <v>20.95</v>
      </c>
      <c r="D8" s="56">
        <v>0</v>
      </c>
      <c r="E8" s="57">
        <f>C8*D8</f>
        <v>0</v>
      </c>
    </row>
    <row ht="12" customHeight="1" r="9" spans="1:5">
      <c r="A9" s="64" t="s">
        <v>842</v>
      </c>
      <c r="B9" s="58" t="s">
        <v>843</v>
      </c>
      <c r="C9" s="50"/>
      <c r="D9" s="56">
        <v>6</v>
      </c>
      <c r="E9" s="57">
        <f>C9*D9</f>
        <v>0</v>
      </c>
    </row>
    <row ht="12" customHeight="1" r="10" spans="1:5">
      <c r="A10" s="58" t="s">
        <v>844</v>
      </c>
      <c r="B10" s="58" t="s">
        <v>36</v>
      </c>
      <c r="C10" s="50">
        <v>4.79</v>
      </c>
      <c r="D10" s="56">
        <v>0</v>
      </c>
      <c r="E10" s="57">
        <f>C10*D10</f>
        <v>0</v>
      </c>
    </row>
    <row ht="12" customHeight="1" r="11" spans="1:5">
      <c r="A11" s="58" t="s">
        <v>845</v>
      </c>
      <c r="B11" s="58" t="s">
        <v>120</v>
      </c>
      <c r="C11" s="50">
        <v>4.79</v>
      </c>
      <c r="D11" s="56">
        <v>0</v>
      </c>
      <c r="E11" s="57">
        <f>C11*D11</f>
        <v>0</v>
      </c>
    </row>
    <row ht="12" customHeight="1" r="12" spans="1:5">
      <c r="A12" s="58" t="s">
        <v>846</v>
      </c>
      <c r="B12" s="58" t="s">
        <v>246</v>
      </c>
      <c r="C12" s="50">
        <v>9.36</v>
      </c>
      <c r="D12" s="56">
        <v>0</v>
      </c>
      <c r="E12" s="57">
        <f>C12*D12</f>
        <v>0</v>
      </c>
    </row>
    <row ht="12" customHeight="1" r="13" spans="1:5">
      <c r="A13" s="58" t="s">
        <v>847</v>
      </c>
      <c r="B13" s="58" t="s">
        <v>246</v>
      </c>
      <c r="C13" s="50">
        <v>9.36</v>
      </c>
      <c r="D13" s="56">
        <v>0</v>
      </c>
      <c r="E13" s="57">
        <f>C13*D13</f>
        <v>0</v>
      </c>
    </row>
    <row ht="12" customHeight="1" r="14" spans="1:5">
      <c r="A14" s="5" t="s">
        <v>341</v>
      </c>
      <c r="B14" s="5"/>
      <c r="C14" s="5"/>
      <c r="D14" s="24"/>
      <c r="E14" s="60">
        <f>SUM(E5:E13)</f>
        <v>114.78</v>
      </c>
    </row>
    <row ht="12" customHeight="1" r="15" spans="1:5"/>
    <row ht="12" customHeight="1" r="16" spans="1:5"/>
    <row ht="12" customHeight="1" r="17"/>
    <row ht="12" customHeight="1" r="18"/>
    <row ht="12" customHeight="1" r="19"/>
    <row ht="12" customHeight="1" r="20"/>
    <row ht="12" customHeight="1" r="21"/>
    <row ht="12" customHeight="1" r="22"/>
    <row ht="12" customHeight="1" r="23"/>
    <row ht="12" customHeight="1" r="24"/>
    <row ht="12" customHeight="1" r="25"/>
    <row ht="12" customHeight="1" r="26"/>
    <row ht="12" customHeight="1" r="27"/>
    <row ht="12" customHeight="1" r="28"/>
    <row ht="12" customHeight="1" r="29"/>
    <row ht="12" customHeight="1" r="30"/>
    <row ht="12" customHeight="1" r="31"/>
    <row ht="12" customHeight="1" r="32"/>
    <row ht="12" customHeight="1" r="33"/>
    <row ht="12" customHeight="1" r="34"/>
    <row ht="12" customHeight="1" r="35"/>
    <row ht="12" customHeight="1" r="36"/>
    <row ht="12" customHeight="1" r="37"/>
    <row ht="12" customHeight="1" r="38"/>
    <row ht="12" customHeight="1" r="39"/>
    <row ht="12" customHeight="1" r="40"/>
    <row ht="12" customHeight="1" r="41"/>
    <row ht="12" customHeight="1" r="42"/>
    <row ht="12" customHeight="1" r="43"/>
    <row ht="12" customHeight="1" r="44"/>
    <row ht="12" customHeight="1" r="45"/>
    <row ht="12" customHeight="1" r="46"/>
    <row ht="12" customHeight="1" r="47"/>
    <row ht="12" customHeight="1" r="48"/>
    <row ht="12" customHeight="1" r="49"/>
    <row ht="12" customHeight="1" r="50"/>
    <row ht="12" customHeight="1" r="51"/>
    <row ht="12" customHeight="1" r="52"/>
    <row ht="12" customHeight="1" r="53"/>
    <row ht="12" customHeight="1" r="54"/>
    <row ht="12" customHeight="1" r="55"/>
    <row ht="12" customHeight="1" r="56"/>
    <row ht="12" customHeight="1" r="57"/>
    <row ht="12" customHeight="1" r="58"/>
    <row ht="12" customHeight="1" r="59"/>
    <row ht="12" customHeight="1" r="60"/>
    <row ht="12" customHeight="1" r="61"/>
    <row ht="12" customHeight="1" r="62"/>
    <row ht="12" customHeight="1" r="63"/>
    <row ht="12" customHeight="1" r="64"/>
    <row ht="12" customHeight="1" r="65"/>
    <row ht="12" customHeight="1" r="66"/>
    <row ht="12" customHeight="1" r="67"/>
    <row ht="12" customHeight="1" r="68"/>
    <row ht="12" customHeight="1" r="69"/>
    <row ht="12" customHeight="1" r="70"/>
    <row ht="12" customHeight="1" r="71"/>
    <row ht="12" customHeight="1" r="72"/>
    <row ht="12" customHeight="1" r="73"/>
    <row ht="12" customHeight="1" r="74"/>
    <row ht="12" customHeight="1" r="75"/>
    <row ht="12" customHeight="1" r="76"/>
    <row ht="12" customHeight="1" r="77"/>
    <row ht="12" customHeight="1" r="78"/>
    <row ht="12" customHeight="1" r="79"/>
    <row ht="12" customHeight="1" r="80"/>
    <row ht="12" customHeight="1" r="81"/>
    <row ht="12" customHeight="1" r="82"/>
    <row ht="12" customHeight="1" r="83"/>
    <row ht="12" customHeight="1" r="84"/>
    <row ht="12" customHeight="1" r="85"/>
    <row ht="12" customHeight="1" r="86"/>
    <row ht="12" customHeight="1" r="87"/>
    <row ht="12" customHeight="1" r="88"/>
    <row ht="12" customHeight="1" r="89"/>
    <row ht="12" customHeight="1" r="90"/>
    <row ht="12" customHeight="1" r="91"/>
    <row ht="12" customHeight="1" r="92"/>
    <row ht="12" customHeight="1" r="93"/>
    <row ht="12" customHeight="1" r="94"/>
    <row ht="12" customHeight="1" r="95"/>
    <row ht="12" customHeight="1" r="96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5.75" customHeight="1" r="221"/>
    <row ht="15.75" customHeight="1" r="222"/>
    <row ht="15.75" customHeight="1" r="223"/>
    <row ht="15.75" customHeight="1" r="224"/>
    <row ht="15.75" customHeight="1" r="225"/>
    <row ht="15.75" customHeight="1" r="226"/>
    <row ht="15.75" customHeight="1" r="227"/>
    <row ht="15.75" customHeight="1" r="228"/>
    <row ht="15.75" customHeight="1" r="229"/>
    <row ht="15.75" customHeight="1" r="230"/>
    <row ht="15.75" customHeight="1" r="231"/>
    <row ht="15.75" customHeight="1" r="232"/>
    <row ht="15.75" customHeight="1" r="233"/>
    <row ht="15.75" customHeight="1" r="234"/>
    <row ht="15.75" customHeight="1" r="235"/>
    <row ht="15.75" customHeight="1" r="236"/>
    <row ht="15.75" customHeight="1" r="237"/>
    <row ht="15.75" customHeight="1" r="238"/>
    <row ht="15.75" customHeight="1" r="239"/>
    <row ht="15.75" customHeight="1" r="240"/>
    <row ht="15.75" customHeight="1" r="241"/>
    <row ht="15.75" customHeight="1" r="242"/>
    <row ht="15.75" customHeight="1" r="243"/>
    <row ht="15.75" customHeight="1" r="244"/>
    <row ht="15.75" customHeight="1" r="245"/>
    <row ht="15.75" customHeight="1" r="246"/>
    <row ht="15.75" customHeight="1" r="247"/>
    <row ht="15.75" customHeight="1" r="248"/>
    <row ht="15.75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7" right="0.7" top="1.14375" bottom="1.14375" header="0" footer="0"/>
  <pageSetup orientation="portrait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Views>
    <sheetView topLeftCell="A38" workbookViewId="0">
      <selection pane="topLeft" activeCell="I6" sqref="I6"/>
    </sheetView>
  </sheetViews>
  <sheetFormatPr baseColWidth="8" defaultColWidth="12.625" defaultRowHeight="15"/>
  <cols>
    <col min="1" max="1" width="28.375" customWidth="1"/>
    <col min="2" max="3" width="8" customWidth="1"/>
    <col min="4" max="4" width="9.875" customWidth="1"/>
    <col min="5" max="5" width="8" customWidth="1"/>
    <col min="6" max="6" width="11.75" customWidth="1"/>
    <col min="7" max="26" width="8.5" customWidth="1"/>
  </cols>
  <sheetData>
    <row ht="21" customHeight="1" r="1" spans="1:26">
      <c r="A1" s="1" t="s">
        <v>0</v>
      </c>
      <c r="B1" s="7"/>
      <c r="C1" s="7"/>
      <c r="D1" s="6"/>
      <c r="E1" s="6"/>
      <c r="F1" s="6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ht="12" customHeight="1" r="2" spans="1:26">
      <c r="A2" s="9" t="s">
        <v>848</v>
      </c>
      <c r="B2" s="7"/>
      <c r="C2" s="7"/>
      <c r="D2" s="6"/>
      <c r="E2" s="6"/>
      <c r="F2" s="6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ht="12" customHeight="1" r="3" spans="1:26">
      <c r="A3" s="22"/>
      <c r="B3" s="7"/>
      <c r="C3" s="7"/>
      <c r="D3" s="6"/>
      <c r="E3" s="6"/>
      <c r="F3" s="6"/>
      <c r="G3" s="52"/>
      <c r="H3" s="88"/>
      <c r="I3" s="88"/>
      <c r="J3" s="88"/>
      <c r="K3" s="88"/>
      <c r="L3" s="88"/>
      <c r="M3" s="88"/>
      <c r="N3" s="88"/>
      <c r="O3" s="88"/>
      <c r="P3" s="88"/>
      <c r="Q3" s="52"/>
      <c r="R3" s="52"/>
      <c r="S3" s="52"/>
      <c r="T3" s="52"/>
      <c r="U3" s="52"/>
      <c r="V3" s="52"/>
      <c r="W3" s="52"/>
      <c r="X3" s="52"/>
      <c r="Y3" s="52"/>
      <c r="Z3" s="52"/>
    </row>
    <row ht="12" customHeight="1" r="4" spans="1:26">
      <c r="A4" s="64" t="s">
        <v>19</v>
      </c>
      <c r="B4" s="89" t="s">
        <v>849</v>
      </c>
      <c r="C4" s="89" t="s">
        <v>850</v>
      </c>
      <c r="D4" s="90" t="s">
        <v>21</v>
      </c>
      <c r="E4" s="91" t="s">
        <v>22</v>
      </c>
      <c r="F4" s="91" t="s">
        <v>851</v>
      </c>
      <c r="G4" s="88"/>
      <c r="H4" s="88"/>
      <c r="I4" s="88"/>
      <c r="J4" s="88"/>
      <c r="K4" s="88"/>
      <c r="L4" s="88"/>
      <c r="M4" s="88"/>
      <c r="N4" s="88"/>
      <c r="O4" s="88"/>
      <c r="P4" s="88"/>
      <c r="Q4" s="52"/>
      <c r="R4" s="52"/>
      <c r="S4" s="52"/>
      <c r="T4" s="52"/>
      <c r="U4" s="52"/>
      <c r="V4" s="52"/>
      <c r="W4" s="52"/>
      <c r="X4" s="52"/>
      <c r="Y4" s="52"/>
      <c r="Z4" s="52"/>
    </row>
    <row ht="13.5" customHeight="1" r="5" spans="1:26">
      <c r="A5" s="58" t="s">
        <v>852</v>
      </c>
      <c r="B5" s="76"/>
      <c r="C5" s="76" t="s">
        <v>853</v>
      </c>
      <c r="D5" s="59">
        <v>5</v>
      </c>
      <c r="E5" s="15">
        <v>1.5</v>
      </c>
      <c r="F5" s="39">
        <f>D5*E5</f>
        <v>7.5</v>
      </c>
      <c r="G5" s="88"/>
      <c r="H5" s="88"/>
      <c r="I5" s="88"/>
      <c r="J5" s="88"/>
      <c r="K5" s="88"/>
      <c r="L5" s="88"/>
      <c r="M5" s="88"/>
      <c r="N5" s="88"/>
      <c r="O5" s="88"/>
      <c r="P5" s="88"/>
      <c r="Q5" s="52"/>
      <c r="R5" s="52"/>
      <c r="S5" s="52"/>
      <c r="T5" s="52"/>
      <c r="U5" s="52"/>
      <c r="V5" s="52"/>
      <c r="W5" s="52"/>
      <c r="X5" s="52"/>
      <c r="Y5" s="52"/>
      <c r="Z5" s="52"/>
    </row>
    <row ht="13.5" customHeight="1" r="6" spans="1:26">
      <c r="A6" s="58" t="s">
        <v>854</v>
      </c>
      <c r="B6" s="85"/>
      <c r="C6" s="85" t="s">
        <v>855</v>
      </c>
      <c r="D6" s="59">
        <v>17.04</v>
      </c>
      <c r="E6" s="58">
        <v>2.4</v>
      </c>
      <c r="F6" s="59">
        <f>D6*E6</f>
        <v>40.896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52"/>
      <c r="R6" s="52"/>
      <c r="S6" s="52"/>
      <c r="T6" s="52"/>
      <c r="U6" s="52"/>
      <c r="V6" s="52"/>
      <c r="W6" s="52"/>
      <c r="X6" s="52"/>
      <c r="Y6" s="52"/>
      <c r="Z6" s="52"/>
    </row>
    <row ht="13.5" customHeight="1" r="7" spans="1:26">
      <c r="A7" s="58" t="s">
        <v>856</v>
      </c>
      <c r="B7" s="85" t="s">
        <v>857</v>
      </c>
      <c r="C7" s="85" t="s">
        <v>858</v>
      </c>
      <c r="D7" s="59">
        <v>0.65</v>
      </c>
      <c r="E7" s="58">
        <v>4</v>
      </c>
      <c r="F7" s="59">
        <f>D7*E7</f>
        <v>2.6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92"/>
      <c r="R7" s="92"/>
      <c r="S7" s="92"/>
      <c r="T7" s="92"/>
      <c r="U7" s="92"/>
      <c r="V7" s="92"/>
      <c r="W7" s="92"/>
      <c r="X7" s="92"/>
      <c r="Y7" s="92"/>
      <c r="Z7" s="92"/>
    </row>
    <row ht="13.5" customHeight="1" r="8" spans="1:26">
      <c r="A8" s="58" t="s">
        <v>859</v>
      </c>
      <c r="B8" s="85" t="s">
        <v>860</v>
      </c>
      <c r="C8" s="85" t="s">
        <v>861</v>
      </c>
      <c r="D8" s="59">
        <v>7.64</v>
      </c>
      <c r="E8" s="58">
        <v>3</v>
      </c>
      <c r="F8" s="59">
        <f>D8*E8</f>
        <v>22.92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92"/>
      <c r="R8" s="92"/>
      <c r="S8" s="92"/>
      <c r="T8" s="92"/>
      <c r="U8" s="92"/>
      <c r="V8" s="92"/>
      <c r="W8" s="92"/>
      <c r="X8" s="92"/>
      <c r="Y8" s="92"/>
      <c r="Z8" s="92"/>
    </row>
    <row ht="13.5" customHeight="1" r="9" spans="1:26">
      <c r="A9" s="58" t="s">
        <v>862</v>
      </c>
      <c r="B9" s="85" t="s">
        <v>863</v>
      </c>
      <c r="C9" s="85" t="s">
        <v>230</v>
      </c>
      <c r="D9" s="59">
        <v>8.49</v>
      </c>
      <c r="E9" s="58">
        <v>6</v>
      </c>
      <c r="F9" s="59">
        <f>D9*E9</f>
        <v>50.94</v>
      </c>
      <c r="G9" s="88"/>
      <c r="H9" s="88"/>
      <c r="I9" s="88"/>
      <c r="J9" s="88"/>
      <c r="K9" s="88"/>
      <c r="L9" s="88"/>
      <c r="M9" s="88"/>
      <c r="N9" s="88"/>
      <c r="O9" s="88"/>
      <c r="P9" s="88"/>
      <c r="Q9" s="92"/>
      <c r="R9" s="92"/>
      <c r="S9" s="92"/>
      <c r="T9" s="92"/>
      <c r="U9" s="92"/>
      <c r="V9" s="92"/>
      <c r="W9" s="92"/>
      <c r="X9" s="92"/>
      <c r="Y9" s="92"/>
      <c r="Z9" s="92"/>
    </row>
    <row ht="13.5" customHeight="1" r="10" spans="1:26">
      <c r="A10" s="58" t="s">
        <v>864</v>
      </c>
      <c r="B10" s="85" t="s">
        <v>865</v>
      </c>
      <c r="C10" s="85" t="s">
        <v>230</v>
      </c>
      <c r="D10" s="59">
        <v>7.25</v>
      </c>
      <c r="E10" s="58"/>
      <c r="F10" s="59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ht="13.5" customHeight="1" r="11" spans="1:26">
      <c r="A11" s="58" t="s">
        <v>866</v>
      </c>
      <c r="B11" s="85" t="s">
        <v>867</v>
      </c>
      <c r="C11" s="85" t="s">
        <v>336</v>
      </c>
      <c r="D11" s="59">
        <v>2.32</v>
      </c>
      <c r="E11" s="58">
        <v>20</v>
      </c>
      <c r="F11" s="59">
        <f>D11*E11</f>
        <v>46.4</v>
      </c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ht="13.5" customHeight="1" r="12" spans="1:26">
      <c r="A12" s="58" t="s">
        <v>868</v>
      </c>
      <c r="B12" s="76">
        <v>60000</v>
      </c>
      <c r="C12" s="76" t="s">
        <v>869</v>
      </c>
      <c r="D12" s="59">
        <v>12.62</v>
      </c>
      <c r="E12" s="15">
        <v>5</v>
      </c>
      <c r="F12" s="39">
        <f>D12*E12</f>
        <v>63.1</v>
      </c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ht="13.5" customHeight="1" r="13" spans="1:26">
      <c r="A13" s="58" t="s">
        <v>870</v>
      </c>
      <c r="B13" s="76" t="s">
        <v>871</v>
      </c>
      <c r="C13" s="76" t="s">
        <v>872</v>
      </c>
      <c r="D13" s="59">
        <v>14.7</v>
      </c>
      <c r="E13" s="15">
        <v>0</v>
      </c>
      <c r="F13" s="39">
        <f>D13*E13</f>
        <v>0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ht="13.5" customHeight="1" r="14" spans="1:26">
      <c r="A14" s="58" t="s">
        <v>873</v>
      </c>
      <c r="B14" s="76" t="s">
        <v>874</v>
      </c>
      <c r="C14" s="76" t="s">
        <v>875</v>
      </c>
      <c r="D14" s="59">
        <v>25.94</v>
      </c>
      <c r="E14" s="15"/>
      <c r="F14" s="39">
        <f>D14*E14</f>
        <v>0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ht="13.5" customHeight="1" r="15" spans="1:26">
      <c r="A15" s="58" t="s">
        <v>876</v>
      </c>
      <c r="B15" s="76">
        <v>41000</v>
      </c>
      <c r="C15" s="76" t="s">
        <v>194</v>
      </c>
      <c r="D15" s="59">
        <v>11.37</v>
      </c>
      <c r="E15" s="15">
        <v>0</v>
      </c>
      <c r="F15" s="39">
        <f>D15*E15</f>
        <v>0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ht="13.5" customHeight="1" r="16" spans="1:26">
      <c r="A16" s="58" t="s">
        <v>877</v>
      </c>
      <c r="B16" s="76">
        <v>35881</v>
      </c>
      <c r="C16" s="76" t="s">
        <v>878</v>
      </c>
      <c r="D16" s="59">
        <v>29.91</v>
      </c>
      <c r="E16" s="15">
        <v>2.5</v>
      </c>
      <c r="F16" s="39">
        <f>D16*E16</f>
        <v>74.775</v>
      </c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ht="13.5" customHeight="1" r="17" spans="1:26">
      <c r="A17" s="58" t="s">
        <v>879</v>
      </c>
      <c r="B17" s="76">
        <v>70200</v>
      </c>
      <c r="C17" s="76" t="s">
        <v>880</v>
      </c>
      <c r="D17" s="59">
        <v>1.99</v>
      </c>
      <c r="E17" s="15">
        <v>0</v>
      </c>
      <c r="F17" s="39">
        <f>D17*E17</f>
        <v>0</v>
      </c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ht="13.5" customHeight="1" r="18" spans="1:26">
      <c r="A18" s="58" t="s">
        <v>881</v>
      </c>
      <c r="B18" s="76">
        <v>50600</v>
      </c>
      <c r="C18" s="76" t="s">
        <v>882</v>
      </c>
      <c r="D18" s="59">
        <v>8.42</v>
      </c>
      <c r="E18" s="15">
        <v>0.5</v>
      </c>
      <c r="F18" s="39">
        <f>D18*E18</f>
        <v>4.21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ht="13.5" customHeight="1" r="19" spans="1:26">
      <c r="A19" s="58" t="s">
        <v>883</v>
      </c>
      <c r="B19" s="76"/>
      <c r="C19" s="76" t="s">
        <v>706</v>
      </c>
      <c r="D19" s="59">
        <v>31.25</v>
      </c>
      <c r="E19" s="15">
        <v>0</v>
      </c>
      <c r="F19" s="39">
        <f>D19*E19</f>
        <v>0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ht="13.5" customHeight="1" r="20" spans="1:26">
      <c r="A20" s="58" t="s">
        <v>884</v>
      </c>
      <c r="B20" s="76"/>
      <c r="C20" s="76" t="s">
        <v>885</v>
      </c>
      <c r="D20" s="59">
        <v>36.86</v>
      </c>
      <c r="E20" s="15">
        <v>5.5</v>
      </c>
      <c r="F20" s="39">
        <f>D20*E20</f>
        <v>202.73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ht="13.5" customHeight="1" r="21" spans="1:26">
      <c r="A21" s="58" t="s">
        <v>886</v>
      </c>
      <c r="B21" s="76"/>
      <c r="C21" s="76" t="s">
        <v>885</v>
      </c>
      <c r="D21" s="59">
        <v>43.16</v>
      </c>
      <c r="E21" s="15">
        <v>3</v>
      </c>
      <c r="F21" s="39">
        <f>D21*E21</f>
        <v>129.48</v>
      </c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ht="13.5" customHeight="1" r="22" spans="1:26">
      <c r="A22" s="58" t="s">
        <v>887</v>
      </c>
      <c r="B22" s="76">
        <v>14381</v>
      </c>
      <c r="C22" s="76" t="s">
        <v>888</v>
      </c>
      <c r="D22" s="59">
        <v>19.96</v>
      </c>
      <c r="E22" s="15">
        <v>6.5</v>
      </c>
      <c r="F22" s="39">
        <f>D22*E22</f>
        <v>129.74</v>
      </c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ht="13.5" customHeight="1" r="23" spans="1:26">
      <c r="A23" s="58" t="s">
        <v>889</v>
      </c>
      <c r="B23" s="76">
        <v>30000</v>
      </c>
      <c r="C23" s="76" t="s">
        <v>890</v>
      </c>
      <c r="D23" s="59">
        <v>11.21</v>
      </c>
      <c r="E23" s="15">
        <v>0</v>
      </c>
      <c r="F23" s="39">
        <f>D23*E23</f>
        <v>0</v>
      </c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ht="13.5" customHeight="1" r="24" spans="1:26">
      <c r="A24" s="58" t="s">
        <v>891</v>
      </c>
      <c r="B24" s="85"/>
      <c r="C24" s="85" t="s">
        <v>892</v>
      </c>
      <c r="D24" s="59">
        <v>73</v>
      </c>
      <c r="E24" s="58">
        <v>1</v>
      </c>
      <c r="F24" s="59">
        <f>D24*E24</f>
        <v>73</v>
      </c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ht="13.5" customHeight="1" r="25" spans="1:26">
      <c r="A25" s="58" t="s">
        <v>893</v>
      </c>
      <c r="B25" s="85"/>
      <c r="C25" s="85" t="s">
        <v>872</v>
      </c>
      <c r="D25" s="59">
        <v>51.52</v>
      </c>
      <c r="E25" s="58">
        <v>1</v>
      </c>
      <c r="F25" s="59">
        <f>D25*E25</f>
        <v>51.52</v>
      </c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ht="13.5" customHeight="1" r="26" spans="1:26">
      <c r="A26" s="58" t="s">
        <v>894</v>
      </c>
      <c r="B26" s="85"/>
      <c r="C26" s="85" t="s">
        <v>538</v>
      </c>
      <c r="D26" s="59">
        <v>58.47</v>
      </c>
      <c r="E26" s="58">
        <v>1.1</v>
      </c>
      <c r="F26" s="59">
        <f>D26*E26</f>
        <v>64.317</v>
      </c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ht="13.5" customHeight="1" r="27" spans="1:26">
      <c r="A27" s="58" t="s">
        <v>895</v>
      </c>
      <c r="B27" s="85"/>
      <c r="C27" s="85" t="s">
        <v>896</v>
      </c>
      <c r="D27" s="59">
        <v>2.5</v>
      </c>
      <c r="E27" s="58">
        <v>0</v>
      </c>
      <c r="F27" s="59">
        <f>D27*E27</f>
        <v>0</v>
      </c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ht="13.5" customHeight="1" r="28" spans="1:26">
      <c r="A28" s="58" t="s">
        <v>897</v>
      </c>
      <c r="B28" s="85" t="s">
        <v>898</v>
      </c>
      <c r="C28" s="85" t="s">
        <v>899</v>
      </c>
      <c r="D28" s="59">
        <v>4.99</v>
      </c>
      <c r="E28" s="58">
        <v>6.5</v>
      </c>
      <c r="F28" s="59">
        <f>D28*E28</f>
        <v>32.435</v>
      </c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ht="13.5" customHeight="1" r="29" spans="1:26">
      <c r="A29" s="58" t="s">
        <v>900</v>
      </c>
      <c r="B29" s="85">
        <v>95500</v>
      </c>
      <c r="C29" s="85" t="s">
        <v>194</v>
      </c>
      <c r="D29" s="59">
        <v>36.25</v>
      </c>
      <c r="E29" s="58">
        <v>2.5</v>
      </c>
      <c r="F29" s="59">
        <f>D29*E29</f>
        <v>90.625</v>
      </c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ht="13.5" customHeight="1" r="30" spans="1:26">
      <c r="A30" s="58" t="s">
        <v>901</v>
      </c>
      <c r="B30" s="85" t="s">
        <v>902</v>
      </c>
      <c r="C30" s="85" t="s">
        <v>276</v>
      </c>
      <c r="D30" s="59">
        <v>11.17</v>
      </c>
      <c r="E30" s="58">
        <v>1.4</v>
      </c>
      <c r="F30" s="59">
        <f>D30*E30</f>
        <v>15.638</v>
      </c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ht="13.5" customHeight="1" r="31" spans="1:26">
      <c r="A31" s="58" t="s">
        <v>903</v>
      </c>
      <c r="B31" s="85">
        <v>95800</v>
      </c>
      <c r="C31" s="85" t="s">
        <v>904</v>
      </c>
      <c r="D31" s="59">
        <f>48.06/2</f>
        <v>24.03</v>
      </c>
      <c r="E31" s="58">
        <v>0</v>
      </c>
      <c r="F31" s="59">
        <f>D31*E31</f>
        <v>0</v>
      </c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ht="13.5" customHeight="1" r="32" spans="1:26">
      <c r="A32" s="58" t="s">
        <v>905</v>
      </c>
      <c r="B32" s="85"/>
      <c r="C32" s="85" t="s">
        <v>706</v>
      </c>
      <c r="D32" s="59">
        <v>32.61</v>
      </c>
      <c r="E32" s="58">
        <v>0.5</v>
      </c>
      <c r="F32" s="59">
        <f>D32*E32</f>
        <v>16.305</v>
      </c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ht="13.5" customHeight="1" r="33" spans="1:26">
      <c r="A33" s="58" t="s">
        <v>906</v>
      </c>
      <c r="B33" s="85">
        <v>14317</v>
      </c>
      <c r="C33" s="85" t="s">
        <v>907</v>
      </c>
      <c r="D33" s="59">
        <v>3.65</v>
      </c>
      <c r="E33" s="58">
        <v>9</v>
      </c>
      <c r="F33" s="59">
        <f>D33*E33</f>
        <v>32.85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ht="13.5" customHeight="1" r="34" spans="1:26">
      <c r="A34" s="58" t="s">
        <v>908</v>
      </c>
      <c r="B34" s="85" t="s">
        <v>909</v>
      </c>
      <c r="C34" s="85" t="s">
        <v>872</v>
      </c>
      <c r="D34" s="59">
        <v>8.79</v>
      </c>
      <c r="E34" s="58">
        <v>6</v>
      </c>
      <c r="F34" s="59">
        <f>D34*E34</f>
        <v>52.74</v>
      </c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ht="13.5" customHeight="1" r="35" spans="1:26">
      <c r="A35" s="58" t="s">
        <v>910</v>
      </c>
      <c r="B35" s="85" t="s">
        <v>911</v>
      </c>
      <c r="C35" s="85" t="s">
        <v>912</v>
      </c>
      <c r="D35" s="59">
        <v>6.71</v>
      </c>
      <c r="E35" s="58">
        <v>0</v>
      </c>
      <c r="F35" s="59">
        <f>D35*E35</f>
        <v>0</v>
      </c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ht="13.5" customHeight="1" r="36" spans="1:26">
      <c r="A36" s="58" t="s">
        <v>913</v>
      </c>
      <c r="B36" s="85" t="s">
        <v>914</v>
      </c>
      <c r="C36" s="85" t="s">
        <v>915</v>
      </c>
      <c r="D36" s="59">
        <v>2.22</v>
      </c>
      <c r="E36" s="58">
        <v>5</v>
      </c>
      <c r="F36" s="59">
        <f>D36*E36</f>
        <v>11.1</v>
      </c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ht="13.5" customHeight="1" r="37" spans="1:26">
      <c r="A37" s="58" t="s">
        <v>916</v>
      </c>
      <c r="B37" s="85" t="s">
        <v>917</v>
      </c>
      <c r="C37" s="85" t="s">
        <v>918</v>
      </c>
      <c r="D37" s="59">
        <v>9.43</v>
      </c>
      <c r="E37" s="58">
        <v>0</v>
      </c>
      <c r="F37" s="59">
        <f>D37*E37</f>
        <v>0</v>
      </c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ht="13.5" customHeight="1" r="38" spans="1:26">
      <c r="A38" s="58" t="s">
        <v>919</v>
      </c>
      <c r="B38" s="85" t="s">
        <v>920</v>
      </c>
      <c r="C38" s="85" t="s">
        <v>921</v>
      </c>
      <c r="D38" s="59">
        <v>3.8</v>
      </c>
      <c r="E38" s="58">
        <v>1.5</v>
      </c>
      <c r="F38" s="59">
        <f>D38*E38</f>
        <v>5.7</v>
      </c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ht="13.5" customHeight="1" r="39" spans="1:26">
      <c r="A39" s="64" t="s">
        <v>922</v>
      </c>
      <c r="B39" s="76"/>
      <c r="C39" s="76"/>
      <c r="D39" s="59"/>
      <c r="E39" s="15"/>
      <c r="F39" s="39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ht="13.5" customHeight="1" r="40" spans="1:26">
      <c r="A40" s="15" t="s">
        <v>923</v>
      </c>
      <c r="B40" s="76">
        <v>100700</v>
      </c>
      <c r="C40" s="76" t="s">
        <v>336</v>
      </c>
      <c r="D40" s="59">
        <v>0.93</v>
      </c>
      <c r="E40" s="15">
        <v>12</v>
      </c>
      <c r="F40" s="39">
        <f>D40*E40</f>
        <v>11.16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ht="13.5" customHeight="1" r="41" spans="1:26">
      <c r="A41" s="15" t="s">
        <v>924</v>
      </c>
      <c r="B41" s="76">
        <v>100600</v>
      </c>
      <c r="C41" s="76" t="s">
        <v>336</v>
      </c>
      <c r="D41" s="59">
        <v>3.49</v>
      </c>
      <c r="E41" s="15">
        <v>12</v>
      </c>
      <c r="F41" s="39">
        <f>D41*E41</f>
        <v>41.88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ht="13.5" customHeight="1" r="42" spans="1:26">
      <c r="A42" s="15" t="s">
        <v>925</v>
      </c>
      <c r="B42" s="76" t="s">
        <v>926</v>
      </c>
      <c r="C42" s="76" t="s">
        <v>336</v>
      </c>
      <c r="D42" s="39">
        <v>3.21</v>
      </c>
      <c r="E42" s="15">
        <v>10</v>
      </c>
      <c r="F42" s="39">
        <f>D42*E42</f>
        <v>32.1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ht="13.5" customHeight="1" r="43" spans="1:26">
      <c r="A43" s="15" t="s">
        <v>927</v>
      </c>
      <c r="B43" s="76">
        <v>992100</v>
      </c>
      <c r="C43" s="76" t="s">
        <v>336</v>
      </c>
      <c r="D43" s="39">
        <v>1.56</v>
      </c>
      <c r="E43" s="15">
        <v>5</v>
      </c>
      <c r="F43" s="39">
        <f>D43*E43</f>
        <v>7.8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ht="13.5" customHeight="1" r="44" spans="1:26">
      <c r="A44" s="5" t="s">
        <v>928</v>
      </c>
      <c r="B44" s="76"/>
      <c r="C44" s="76"/>
      <c r="D44" s="39"/>
      <c r="E44" s="15"/>
      <c r="F44" s="39">
        <f>D44*E44</f>
        <v>0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ht="13.5" customHeight="1" r="45" spans="1:26">
      <c r="A45" s="15" t="s">
        <v>929</v>
      </c>
      <c r="B45" s="76" t="s">
        <v>930</v>
      </c>
      <c r="C45" s="76" t="s">
        <v>336</v>
      </c>
      <c r="D45" s="39">
        <v>1.25</v>
      </c>
      <c r="E45" s="15">
        <v>12</v>
      </c>
      <c r="F45" s="39">
        <f>D45*E45</f>
        <v>15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ht="13.5" customHeight="1" r="46" spans="1:26">
      <c r="A46" s="15" t="s">
        <v>931</v>
      </c>
      <c r="B46" s="76">
        <v>7948</v>
      </c>
      <c r="C46" s="76" t="s">
        <v>336</v>
      </c>
      <c r="D46" s="39">
        <v>3.52</v>
      </c>
      <c r="E46" s="15"/>
      <c r="F46" s="39">
        <f>D46*E46</f>
        <v>0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ht="13.5" customHeight="1" r="47" spans="1:26">
      <c r="A47" s="15" t="s">
        <v>932</v>
      </c>
      <c r="B47" s="76">
        <v>152100</v>
      </c>
      <c r="C47" s="76" t="s">
        <v>336</v>
      </c>
      <c r="D47" s="39">
        <v>1.62</v>
      </c>
      <c r="E47" s="15">
        <v>0</v>
      </c>
      <c r="F47" s="39">
        <f>D47*E47</f>
        <v>0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ht="13.5" customHeight="1" r="48" spans="1:26">
      <c r="A48" s="15" t="s">
        <v>933</v>
      </c>
      <c r="B48" s="76"/>
      <c r="C48" s="76" t="s">
        <v>336</v>
      </c>
      <c r="D48" s="39">
        <v>1.68</v>
      </c>
      <c r="E48" s="15"/>
      <c r="F48" s="39">
        <f>D48*E48</f>
        <v>0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ht="13.5" customHeight="1" r="49" spans="1:26">
      <c r="A49" s="58" t="s">
        <v>934</v>
      </c>
      <c r="B49" s="85"/>
      <c r="C49" s="85" t="s">
        <v>336</v>
      </c>
      <c r="D49" s="59">
        <v>65</v>
      </c>
      <c r="E49" s="58">
        <v>4</v>
      </c>
      <c r="F49" s="59">
        <f>D49*E49</f>
        <v>260</v>
      </c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ht="13.5" customHeight="1" r="50" spans="1:26">
      <c r="A50" s="15" t="s">
        <v>935</v>
      </c>
      <c r="B50" s="76"/>
      <c r="C50" s="76" t="s">
        <v>336</v>
      </c>
      <c r="D50" s="39">
        <v>6.75</v>
      </c>
      <c r="E50" s="15">
        <v>5</v>
      </c>
      <c r="F50" s="39">
        <f>D50*E50</f>
        <v>33.75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ht="13.5" customHeight="1" r="51" spans="1:26">
      <c r="A51" s="15" t="s">
        <v>936</v>
      </c>
      <c r="B51" s="76"/>
      <c r="C51" s="76" t="s">
        <v>336</v>
      </c>
      <c r="D51" s="39">
        <v>12.95</v>
      </c>
      <c r="E51" s="15">
        <v>2</v>
      </c>
      <c r="F51" s="39">
        <f>D51*E51</f>
        <v>25.9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ht="13.5" customHeight="1" r="52" spans="1:26">
      <c r="A52" s="15" t="s">
        <v>937</v>
      </c>
      <c r="B52" s="76"/>
      <c r="C52" s="76" t="s">
        <v>336</v>
      </c>
      <c r="D52" s="39">
        <v>9.88</v>
      </c>
      <c r="E52" s="15">
        <v>6</v>
      </c>
      <c r="F52" s="39">
        <f>D52*E52</f>
        <v>59.28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ht="13.5" customHeight="1" r="53" spans="1:26">
      <c r="A53" s="15" t="s">
        <v>938</v>
      </c>
      <c r="B53" s="76"/>
      <c r="C53" s="76" t="s">
        <v>336</v>
      </c>
      <c r="D53" s="39">
        <v>16</v>
      </c>
      <c r="E53" s="15">
        <v>5</v>
      </c>
      <c r="F53" s="39">
        <f>D53*E53</f>
        <v>80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ht="13.5" customHeight="1" r="54" spans="1:26">
      <c r="A54" s="15" t="s">
        <v>939</v>
      </c>
      <c r="B54" s="76"/>
      <c r="C54" s="76" t="s">
        <v>336</v>
      </c>
      <c r="D54" s="39">
        <v>15.1</v>
      </c>
      <c r="E54" s="15">
        <v>1</v>
      </c>
      <c r="F54" s="39">
        <f>D54*E54</f>
        <v>15.1</v>
      </c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ht="13.5" customHeight="1" r="55" spans="1:26">
      <c r="A55" s="15" t="s">
        <v>940</v>
      </c>
      <c r="B55" s="76"/>
      <c r="C55" s="76" t="s">
        <v>276</v>
      </c>
      <c r="D55" s="39">
        <v>27.02</v>
      </c>
      <c r="E55" s="15">
        <v>0.8</v>
      </c>
      <c r="F55" s="39">
        <f>D55*E55</f>
        <v>21.616</v>
      </c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ht="13.5" customHeight="1" r="56" spans="1:26">
      <c r="A56" s="15"/>
      <c r="B56" s="76"/>
      <c r="C56" s="76"/>
      <c r="D56" s="39"/>
      <c r="E56" s="15"/>
      <c r="F56" s="39">
        <f>D56*E56</f>
        <v>0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ht="13.5" customHeight="1" r="57" spans="1:26">
      <c r="A57" s="15"/>
      <c r="B57" s="76"/>
      <c r="C57" s="76"/>
      <c r="D57" s="39"/>
      <c r="E57" s="15">
        <v>0</v>
      </c>
      <c r="F57" s="39">
        <f>D57*E57</f>
        <v>0</v>
      </c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ht="13.5" customHeight="1" r="58" spans="1:26">
      <c r="A58" s="15" t="s">
        <v>941</v>
      </c>
      <c r="B58" s="76" t="s">
        <v>942</v>
      </c>
      <c r="C58" s="76" t="s">
        <v>230</v>
      </c>
      <c r="D58" s="39">
        <v>64.44</v>
      </c>
      <c r="E58" s="15">
        <v>1.8</v>
      </c>
      <c r="F58" s="39">
        <f>+E58*D58</f>
        <v>115.992</v>
      </c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ht="13.5" customHeight="1" r="59" spans="1:26">
      <c r="A59" s="5" t="s">
        <v>341</v>
      </c>
      <c r="B59" s="76"/>
      <c r="C59" s="76"/>
      <c r="D59" s="39"/>
      <c r="E59" s="15"/>
      <c r="F59" s="93">
        <f>SUM(F5:F58)</f>
        <v>1941.099</v>
      </c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ht="12" customHeight="1" r="60" spans="1:26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ht="12" customHeight="1" r="61" spans="1:26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ht="12" customHeight="1" r="62" spans="1:26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ht="12" customHeight="1" r="63" spans="1:26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ht="12" customHeight="1" r="64" spans="1:26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ht="12" customHeight="1" r="65" spans="1:26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ht="12" customHeight="1" r="66" spans="1:2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ht="12" customHeight="1" r="67" spans="1:26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ht="12" customHeight="1" r="68" spans="1:26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ht="12" customHeight="1" r="69" spans="1:26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ht="12" customHeight="1" r="70" spans="1:26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ht="12" customHeight="1" r="71" spans="1:26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ht="12" customHeight="1" r="72" spans="1:26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ht="12" customHeight="1" r="73" spans="1:26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ht="12" customHeight="1" r="74" spans="1:26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ht="12" customHeight="1" r="75" spans="1:26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ht="12" customHeight="1" r="76" spans="1:2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ht="12" customHeight="1" r="77" spans="1:26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ht="12" customHeight="1" r="78" spans="1:26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ht="12" customHeight="1" r="79" spans="1:26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ht="12" customHeight="1" r="80" spans="1:26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ht="12" customHeight="1" r="81" spans="1:26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ht="12" customHeight="1" r="82" spans="1:26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ht="12" customHeight="1" r="83" spans="1:26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ht="12" customHeight="1" r="84" spans="1:26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ht="12" customHeight="1" r="85" spans="1:26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ht="12" customHeight="1" r="86" spans="1:2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ht="12" customHeight="1" r="87" spans="1:26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ht="12" customHeight="1" r="88" spans="1:26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ht="12" customHeight="1" r="89" spans="1:26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ht="12" customHeight="1" r="90" spans="1:26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ht="12" customHeight="1" r="91" spans="1:26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ht="12" customHeight="1" r="92" spans="1:26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ht="12" customHeight="1" r="93" spans="1:26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ht="12" customHeight="1" r="94" spans="1:26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ht="12" customHeight="1" r="95" spans="1:26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ht="12" customHeight="1" r="96" spans="1:2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ht="12" customHeight="1" r="97" spans="1:26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ht="12" customHeight="1" r="98" spans="1:26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ht="12" customHeight="1" r="99" spans="1:26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ht="12" customHeight="1" r="100" spans="1:26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ht="12" customHeight="1" r="101" spans="1:26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ht="12" customHeight="1" r="102" spans="1:26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ht="12" customHeight="1" r="103" spans="1:26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ht="12" customHeight="1" r="104" spans="1:26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ht="12" customHeight="1" r="105" spans="1:26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ht="12" customHeight="1" r="106" spans="1:2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ht="12" customHeight="1" r="107" spans="1:26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ht="12" customHeight="1" r="108" spans="1:26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ht="12" customHeight="1" r="109" spans="1:26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ht="12" customHeight="1" r="110" spans="1:26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ht="12" customHeight="1" r="111" spans="1:26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ht="12" customHeight="1" r="112" spans="1:26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ht="12" customHeight="1" r="113" spans="1:26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ht="12" customHeight="1" r="114" spans="1:26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ht="12" customHeight="1" r="115" spans="1:26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ht="12" customHeight="1" r="116" spans="1:2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ht="12" customHeight="1" r="117" spans="1:26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ht="12" customHeight="1" r="118" spans="1:26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ht="12" customHeight="1" r="119" spans="1:26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ht="12" customHeight="1" r="120" spans="1:26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ht="12" customHeight="1" r="121" spans="1:26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ht="12" customHeight="1" r="122" spans="1:26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ht="12" customHeight="1" r="123" spans="1:26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ht="12" customHeight="1" r="124" spans="1:26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ht="12" customHeight="1" r="125" spans="1:26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ht="12" customHeight="1" r="126" spans="1: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ht="12" customHeight="1" r="127" spans="1:26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ht="12" customHeight="1" r="128" spans="1:26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ht="12" customHeight="1" r="129" spans="1:26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ht="12" customHeight="1" r="130" spans="1:26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ht="12" customHeight="1" r="131" spans="1:26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ht="12" customHeight="1" r="132" spans="1:26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ht="12" customHeight="1" r="133" spans="1:26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ht="12" customHeight="1" r="134" spans="1:26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ht="12" customHeight="1" r="135" spans="1:26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ht="12" customHeight="1" r="136" spans="1:2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ht="12" customHeight="1" r="137" spans="1:26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ht="12" customHeight="1" r="138" spans="1:26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ht="12" customHeight="1" r="139" spans="1:26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ht="12" customHeight="1" r="140" spans="1:26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ht="12" customHeight="1" r="141" spans="1:26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ht="12" customHeight="1" r="142" spans="1:26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ht="12" customHeight="1" r="143" spans="1:26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ht="12" customHeight="1" r="144" spans="1:26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ht="12" customHeight="1" r="145" spans="1:26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ht="12" customHeight="1" r="146" spans="1:2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ht="12" customHeight="1" r="147" spans="1:26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ht="12" customHeight="1" r="148" spans="1:26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ht="12" customHeight="1" r="149" spans="1:26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ht="12" customHeight="1" r="150" spans="1:26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ht="12" customHeight="1" r="151" spans="1:26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ht="12" customHeight="1" r="152" spans="1:26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ht="12" customHeight="1" r="153" spans="1:26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ht="12" customHeight="1" r="154" spans="1:26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ht="12" customHeight="1" r="155" spans="1:26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ht="12" customHeight="1" r="156" spans="1:2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ht="12" customHeight="1" r="157" spans="1:26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ht="12" customHeight="1" r="158" spans="1:26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ht="12" customHeight="1" r="159" spans="1:26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ht="12" customHeight="1" r="160" spans="1:26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ht="12" customHeight="1" r="161" spans="1:26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ht="12" customHeight="1" r="162" spans="1:26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ht="12" customHeight="1" r="163" spans="1:26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ht="12" customHeight="1" r="164" spans="1:26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ht="12" customHeight="1" r="165" spans="1:26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ht="12" customHeight="1" r="166" spans="1:2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ht="12" customHeight="1" r="167" spans="1:26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ht="12" customHeight="1" r="168" spans="1:26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ht="12" customHeight="1" r="169" spans="1:26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ht="12" customHeight="1" r="170" spans="1:26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ht="12" customHeight="1" r="171" spans="1:26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ht="12" customHeight="1" r="172" spans="1:26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ht="12" customHeight="1" r="173" spans="1:26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ht="12" customHeight="1" r="174" spans="1:26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ht="12" customHeight="1" r="175" spans="1:26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ht="12" customHeight="1" r="176" spans="1:2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ht="12" customHeight="1" r="177" spans="1:26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ht="12" customHeight="1" r="178" spans="1:26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ht="12" customHeight="1" r="179" spans="1:26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ht="12" customHeight="1" r="180" spans="1:26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ht="12" customHeight="1" r="181" spans="1:26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ht="12" customHeight="1" r="182" spans="1:26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ht="12" customHeight="1" r="183" spans="1:26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ht="12" customHeight="1" r="184" spans="1:26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ht="12" customHeight="1" r="185" spans="1:26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ht="12" customHeight="1" r="186" spans="1:2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ht="12" customHeight="1" r="187" spans="1:26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ht="12" customHeight="1" r="188" spans="1:26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ht="12" customHeight="1" r="189" spans="1:26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ht="12" customHeight="1" r="190" spans="1:26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ht="12" customHeight="1" r="191" spans="1:26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ht="12" customHeight="1" r="192" spans="1:26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ht="12" customHeight="1" r="193" spans="1:26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ht="12" customHeight="1" r="194" spans="1:26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ht="12" customHeight="1" r="195" spans="1:26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ht="12" customHeight="1" r="196" spans="1:2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ht="12" customHeight="1" r="197" spans="1:26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ht="12" customHeight="1" r="198" spans="1:26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ht="12" customHeight="1" r="199" spans="1:26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ht="12" customHeight="1" r="200" spans="1:26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ht="12" customHeight="1" r="201" spans="1:26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ht="12" customHeight="1" r="202" spans="1:26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ht="12" customHeight="1" r="203" spans="1:26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ht="12" customHeight="1" r="204" spans="1:26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ht="12" customHeight="1" r="205" spans="1:26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ht="12" customHeight="1" r="206" spans="1:2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ht="12" customHeight="1" r="207" spans="1:26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ht="12" customHeight="1" r="208" spans="1:26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ht="12" customHeight="1" r="209" spans="1:26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ht="12" customHeight="1" r="210" spans="1:26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ht="12" customHeight="1" r="211" spans="1:26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ht="12" customHeight="1" r="212" spans="1:26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ht="12" customHeight="1" r="213" spans="1:26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ht="12" customHeight="1" r="214" spans="1:26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ht="12" customHeight="1" r="215" spans="1:26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ht="12" customHeight="1" r="216" spans="1:2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ht="12" customHeight="1" r="217" spans="1:26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ht="12" customHeight="1" r="218" spans="1:26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ht="12" customHeight="1" r="219" spans="1:26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ht="12" customHeight="1" r="220" spans="1:26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ht="12" customHeight="1" r="221" spans="1:26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ht="12" customHeight="1" r="222" spans="1:26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ht="12" customHeight="1" r="223" spans="1:26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ht="12" customHeight="1" r="224" spans="1:26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ht="12" customHeight="1" r="225" spans="1:26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ht="12" customHeight="1" r="226" spans="1: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ht="12" customHeight="1" r="227" spans="1:26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ht="12" customHeight="1" r="228" spans="1:26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ht="12" customHeight="1" r="229" spans="1:26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ht="12" customHeight="1" r="230" spans="1:26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ht="12" customHeight="1" r="231" spans="1:26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ht="12" customHeight="1" r="232" spans="1:26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ht="12" customHeight="1" r="233" spans="1:26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ht="12" customHeight="1" r="234" spans="1:26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ht="12" customHeight="1" r="235" spans="1:26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ht="12" customHeight="1" r="236" spans="1:2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ht="12" customHeight="1" r="237" spans="1:26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ht="12" customHeight="1" r="238" spans="1:26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ht="12" customHeight="1" r="239" spans="1:26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ht="12" customHeight="1" r="240" spans="1:26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ht="12" customHeight="1" r="241" spans="1:26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ht="12" customHeight="1" r="242" spans="1:26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ht="12" customHeight="1" r="243" spans="1:26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ht="12" customHeight="1" r="244" spans="1:26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ht="12" customHeight="1" r="245" spans="1:26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ht="12" customHeight="1" r="246" spans="1:2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ht="12" customHeight="1" r="247" spans="1:26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ht="12" customHeight="1" r="248" spans="1:26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ht="12" customHeight="1" r="249" spans="1:26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ht="12" customHeight="1" r="250" spans="1:26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ht="12" customHeight="1" r="251" spans="1:26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ht="12" customHeight="1" r="252" spans="1:26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ht="12" customHeight="1" r="253" spans="1:26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ht="12" customHeight="1" r="254" spans="1:26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ht="12" customHeight="1" r="255" spans="1:26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ht="12" customHeight="1" r="256" spans="1:2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ht="12" customHeight="1" r="257" spans="1:26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ht="12" customHeight="1" r="258" spans="1:26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ht="12" customHeight="1" r="259" spans="1:26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ht="15.75" customHeight="1" r="260" spans="1:26"/>
    <row ht="15.75" customHeight="1" r="261" spans="1:26"/>
    <row ht="15.75" customHeight="1" r="262" spans="1:26"/>
    <row ht="15.75" customHeight="1" r="263" spans="1:26"/>
    <row ht="15.75" customHeight="1" r="264" spans="1:26"/>
    <row ht="15.75" customHeight="1" r="265" spans="1:26"/>
    <row ht="15.75" customHeight="1" r="266" spans="1:26"/>
    <row ht="15.75" customHeight="1" r="267" spans="1:26"/>
    <row ht="15.75" customHeight="1" r="268" spans="1:26"/>
    <row ht="15.75" customHeight="1" r="269" spans="1:26"/>
    <row ht="15.75" customHeight="1" r="270" spans="1:26"/>
    <row ht="15.75" customHeight="1" r="271" spans="1:26"/>
    <row ht="15.75" customHeight="1" r="272" spans="1:26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7" right="0.7" top="1.14375" bottom="1.14375" header="0" footer="0"/>
  <pageSetup orientation="portrait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Views>
    <sheetView workbookViewId="0">
      <selection pane="topLeft" activeCell="F6" sqref="F6"/>
    </sheetView>
  </sheetViews>
  <sheetFormatPr baseColWidth="8" defaultColWidth="12.625" defaultRowHeight="15"/>
  <cols>
    <col min="1" max="1" width="31.125" customWidth="1"/>
    <col min="2" max="2" width="9.875" customWidth="1"/>
    <col min="3" max="3" width="11.75" customWidth="1"/>
    <col min="4" max="4" width="8.875" customWidth="1"/>
    <col min="5" max="5" width="11.75" customWidth="1"/>
    <col min="6" max="25" width="16.625" customWidth="1"/>
  </cols>
  <sheetData>
    <row ht="21" customHeight="1" r="1" spans="1:26">
      <c r="A1" s="1" t="s">
        <v>943</v>
      </c>
      <c r="B1" s="6"/>
      <c r="C1" s="6"/>
      <c r="D1" s="6"/>
      <c r="E1" s="6"/>
    </row>
    <row ht="13.5" customHeight="1" r="2" spans="1:26">
      <c r="A2" s="9" t="s">
        <v>944</v>
      </c>
      <c r="B2" s="6"/>
      <c r="C2" s="6"/>
      <c r="D2" s="6"/>
      <c r="E2" s="94"/>
    </row>
    <row ht="13.5" customHeight="1" r="3" spans="1:26">
      <c r="A3" s="22"/>
      <c r="B3" s="6"/>
      <c r="C3" s="6"/>
      <c r="D3" s="6"/>
      <c r="E3" s="94"/>
    </row>
    <row ht="13.5" customHeight="1" r="4" spans="1:26">
      <c r="A4" s="23" t="s">
        <v>19</v>
      </c>
      <c r="B4" s="23" t="s">
        <v>945</v>
      </c>
      <c r="C4" s="23" t="s">
        <v>21</v>
      </c>
      <c r="D4" s="23" t="s">
        <v>22</v>
      </c>
      <c r="E4" s="23" t="s">
        <v>23</v>
      </c>
    </row>
    <row ht="13.5" customHeight="1" r="5" spans="1:26">
      <c r="A5" s="58" t="s">
        <v>946</v>
      </c>
      <c r="B5" s="58" t="s">
        <v>413</v>
      </c>
      <c r="C5" s="50">
        <v>57.62</v>
      </c>
      <c r="D5" s="95">
        <v>0.4</v>
      </c>
      <c r="E5" s="96">
        <f>C5*D5</f>
        <v>23.048</v>
      </c>
      <c r="R5" s="92"/>
      <c r="S5" s="92"/>
      <c r="T5" s="92"/>
      <c r="U5" s="92"/>
      <c r="V5" s="92"/>
      <c r="W5" s="92"/>
      <c r="X5" s="92"/>
      <c r="Y5" s="92"/>
      <c r="Z5" s="92"/>
    </row>
    <row ht="13.5" customHeight="1" r="6" spans="1:26">
      <c r="A6" s="58"/>
      <c r="B6" s="58"/>
      <c r="C6" s="50"/>
      <c r="D6" s="95"/>
      <c r="E6" s="96"/>
      <c r="R6" s="92"/>
      <c r="S6" s="92"/>
      <c r="T6" s="92"/>
      <c r="U6" s="92"/>
      <c r="V6" s="92"/>
      <c r="W6" s="92"/>
      <c r="X6" s="92"/>
      <c r="Y6" s="92"/>
      <c r="Z6" s="92"/>
    </row>
    <row ht="13.5" customHeight="1" r="7" spans="1:26">
      <c r="A7" s="58" t="s">
        <v>947</v>
      </c>
      <c r="B7" s="58" t="s">
        <v>948</v>
      </c>
      <c r="C7" s="50">
        <v>38.22</v>
      </c>
      <c r="D7" s="95">
        <v>0.5</v>
      </c>
      <c r="E7" s="96">
        <f>C7*D7</f>
        <v>19.11</v>
      </c>
      <c r="R7" s="92"/>
      <c r="S7" s="92"/>
      <c r="T7" s="92"/>
      <c r="U7" s="92"/>
      <c r="V7" s="92"/>
      <c r="W7" s="92"/>
      <c r="X7" s="92"/>
      <c r="Y7" s="92"/>
      <c r="Z7" s="92"/>
    </row>
    <row ht="13.5" customHeight="1" r="8" spans="1:26">
      <c r="A8" s="15" t="s">
        <v>949</v>
      </c>
      <c r="B8" s="15" t="s">
        <v>627</v>
      </c>
      <c r="C8" s="109">
        <v>25</v>
      </c>
      <c r="D8" s="110"/>
      <c r="E8" s="108">
        <f>C8*D8</f>
        <v>0</v>
      </c>
    </row>
    <row ht="13.5" customHeight="1" r="9" spans="1:26">
      <c r="A9" s="15" t="s">
        <v>950</v>
      </c>
      <c r="B9" s="15" t="s">
        <v>951</v>
      </c>
      <c r="C9" s="109">
        <v>78.95</v>
      </c>
      <c r="D9" s="110">
        <v>1</v>
      </c>
      <c r="E9" s="108">
        <f>C9*D9</f>
        <v>78.95</v>
      </c>
    </row>
    <row ht="13.5" customHeight="1" r="10" spans="1:26">
      <c r="A10" s="15" t="s">
        <v>952</v>
      </c>
      <c r="B10" s="15" t="s">
        <v>627</v>
      </c>
      <c r="C10" s="109">
        <v>13.02</v>
      </c>
      <c r="D10" s="110">
        <v>1</v>
      </c>
      <c r="E10" s="108">
        <f>C10*D10</f>
        <v>13.02</v>
      </c>
    </row>
    <row ht="13.5" customHeight="1" r="11" spans="1:26">
      <c r="A11" s="15" t="s">
        <v>953</v>
      </c>
      <c r="B11" s="15" t="s">
        <v>413</v>
      </c>
      <c r="C11" s="109">
        <v>20.36</v>
      </c>
      <c r="D11" s="110">
        <v>0.3</v>
      </c>
      <c r="E11" s="108">
        <f>C11*D11</f>
        <v>6.108</v>
      </c>
    </row>
    <row ht="13.5" customHeight="1" r="12" spans="1:26">
      <c r="A12" s="15" t="s">
        <v>954</v>
      </c>
      <c r="B12" s="73">
        <v>8139</v>
      </c>
      <c r="C12" s="109">
        <v>34.09</v>
      </c>
      <c r="D12" s="110">
        <v>0.6</v>
      </c>
      <c r="E12" s="108">
        <f>C12*D12</f>
        <v>20.454</v>
      </c>
    </row>
    <row ht="13.5" customHeight="1" r="13" spans="1:26">
      <c r="A13" s="15" t="s">
        <v>955</v>
      </c>
      <c r="B13" s="15">
        <v>2000</v>
      </c>
      <c r="C13" s="109">
        <v>60.08</v>
      </c>
      <c r="D13" s="110">
        <v>0</v>
      </c>
      <c r="E13" s="108">
        <f>C13*D13</f>
        <v>0</v>
      </c>
    </row>
    <row ht="13.5" customHeight="1" r="14" spans="1:26">
      <c r="A14" s="58" t="s">
        <v>956</v>
      </c>
      <c r="B14" s="58" t="s">
        <v>957</v>
      </c>
      <c r="C14" s="50">
        <v>39.12</v>
      </c>
      <c r="D14" s="95">
        <v>0</v>
      </c>
      <c r="E14" s="96">
        <f>C14*D14</f>
        <v>0</v>
      </c>
      <c r="R14" s="92"/>
      <c r="S14" s="92"/>
      <c r="T14" s="92"/>
      <c r="U14" s="92"/>
      <c r="V14" s="92"/>
      <c r="W14" s="92"/>
      <c r="X14" s="92"/>
      <c r="Y14" s="92"/>
      <c r="Z14" s="92"/>
    </row>
    <row ht="13.5" customHeight="1" r="15" spans="1:26">
      <c r="A15" s="58" t="s">
        <v>958</v>
      </c>
      <c r="B15" s="58" t="s">
        <v>959</v>
      </c>
      <c r="C15" s="50">
        <v>34.99</v>
      </c>
      <c r="D15" s="95">
        <v>1.6</v>
      </c>
      <c r="E15" s="96">
        <f>C15*D15</f>
        <v>55.984</v>
      </c>
      <c r="R15" s="92"/>
      <c r="S15" s="92"/>
      <c r="T15" s="92"/>
      <c r="U15" s="92"/>
      <c r="V15" s="92"/>
      <c r="W15" s="92"/>
      <c r="X15" s="92"/>
      <c r="Y15" s="92"/>
      <c r="Z15" s="92"/>
    </row>
    <row ht="13.5" customHeight="1" r="16" spans="1:26">
      <c r="A16" s="58" t="s">
        <v>960</v>
      </c>
      <c r="B16" s="58" t="s">
        <v>961</v>
      </c>
      <c r="C16" s="50">
        <v>35.32</v>
      </c>
      <c r="D16" s="95">
        <v>0.3</v>
      </c>
      <c r="E16" s="96">
        <f>C16*D16</f>
        <v>10.596</v>
      </c>
      <c r="R16" s="92"/>
      <c r="S16" s="92"/>
      <c r="T16" s="92"/>
      <c r="U16" s="92"/>
      <c r="V16" s="92"/>
      <c r="W16" s="92"/>
      <c r="X16" s="92"/>
      <c r="Y16" s="92"/>
      <c r="Z16" s="92"/>
    </row>
    <row ht="13.5" customHeight="1" r="17" spans="1:26">
      <c r="A17" s="58" t="s">
        <v>962</v>
      </c>
      <c r="B17" s="58" t="s">
        <v>413</v>
      </c>
      <c r="C17" s="50">
        <v>35.72</v>
      </c>
      <c r="D17" s="95">
        <v>1</v>
      </c>
      <c r="E17" s="96">
        <f>C17*D17</f>
        <v>35.72</v>
      </c>
    </row>
    <row ht="13.5" customHeight="1" r="18" spans="1:26">
      <c r="A18" s="58" t="s">
        <v>963</v>
      </c>
      <c r="B18" s="58" t="s">
        <v>964</v>
      </c>
      <c r="C18" s="50">
        <v>88.4</v>
      </c>
      <c r="D18" s="95">
        <v>0</v>
      </c>
      <c r="E18" s="96">
        <f>C18*D18</f>
        <v>0</v>
      </c>
    </row>
    <row ht="13.5" customHeight="1" r="19" spans="1:26">
      <c r="A19" s="58" t="s">
        <v>965</v>
      </c>
      <c r="B19" s="58"/>
      <c r="C19" s="50">
        <v>50.11</v>
      </c>
      <c r="D19" s="95">
        <v>0.8</v>
      </c>
      <c r="E19" s="96">
        <f>C19*D19</f>
        <v>40.088</v>
      </c>
      <c r="R19" s="92"/>
      <c r="S19" s="92"/>
      <c r="T19" s="92"/>
      <c r="U19" s="92"/>
      <c r="V19" s="92"/>
      <c r="W19" s="92"/>
      <c r="X19" s="92"/>
      <c r="Y19" s="92"/>
      <c r="Z19" s="92"/>
    </row>
    <row ht="13.5" customHeight="1" r="20" spans="1:26">
      <c r="A20" s="58" t="s">
        <v>966</v>
      </c>
      <c r="B20" s="58" t="s">
        <v>964</v>
      </c>
      <c r="C20" s="50">
        <v>54.84</v>
      </c>
      <c r="D20" s="95">
        <v>0.8</v>
      </c>
      <c r="E20" s="96">
        <f>C20*D20</f>
        <v>43.872</v>
      </c>
    </row>
    <row ht="13.5" customHeight="1" r="21" spans="1:26">
      <c r="A21" s="58" t="s">
        <v>967</v>
      </c>
      <c r="B21" s="58">
        <v>1000</v>
      </c>
      <c r="C21" s="50">
        <v>42.06</v>
      </c>
      <c r="D21" s="95">
        <v>2.5</v>
      </c>
      <c r="E21" s="96">
        <f>C21*D21</f>
        <v>105.15</v>
      </c>
    </row>
    <row ht="13.5" customHeight="1" r="22" spans="1:26">
      <c r="A22" s="58" t="s">
        <v>968</v>
      </c>
      <c r="B22" s="58" t="s">
        <v>961</v>
      </c>
      <c r="C22" s="50">
        <v>52.36</v>
      </c>
      <c r="D22" s="95">
        <v>0</v>
      </c>
      <c r="E22" s="96">
        <f>C22*D22</f>
        <v>0</v>
      </c>
      <c r="R22" s="92"/>
      <c r="S22" s="92"/>
      <c r="T22" s="92"/>
      <c r="U22" s="92"/>
      <c r="V22" s="92"/>
      <c r="W22" s="92"/>
      <c r="X22" s="92"/>
      <c r="Y22" s="92"/>
      <c r="Z22" s="92"/>
    </row>
    <row ht="13.5" customHeight="1" r="23" spans="1:26">
      <c r="A23" s="58" t="s">
        <v>969</v>
      </c>
      <c r="B23" s="58" t="s">
        <v>970</v>
      </c>
      <c r="C23" s="50">
        <v>85.38</v>
      </c>
      <c r="D23" s="95">
        <v>0.7</v>
      </c>
      <c r="E23" s="96">
        <f>C23*D23</f>
        <v>59.766</v>
      </c>
    </row>
    <row ht="13.5" customHeight="1" r="24" spans="1:26">
      <c r="A24" s="58" t="s">
        <v>971</v>
      </c>
      <c r="B24" s="58" t="s">
        <v>972</v>
      </c>
      <c r="C24" s="50">
        <v>130.61</v>
      </c>
      <c r="D24" s="95">
        <v>1</v>
      </c>
      <c r="E24" s="96">
        <f>C24*D24</f>
        <v>130.61</v>
      </c>
    </row>
    <row ht="13.5" customHeight="1" r="25" spans="1:26">
      <c r="A25" s="58" t="s">
        <v>973</v>
      </c>
      <c r="B25" s="58">
        <v>200</v>
      </c>
      <c r="C25" s="50">
        <v>2.7</v>
      </c>
      <c r="D25" s="95">
        <v>1.5</v>
      </c>
      <c r="E25" s="96">
        <f>C25*D25</f>
        <v>4.05</v>
      </c>
    </row>
    <row ht="13.5" customHeight="1" r="26" spans="1:26">
      <c r="A26" s="58" t="s">
        <v>974</v>
      </c>
      <c r="B26" s="58" t="s">
        <v>975</v>
      </c>
      <c r="C26" s="50">
        <v>5.4</v>
      </c>
      <c r="D26" s="95">
        <v>0</v>
      </c>
      <c r="E26" s="96">
        <f>C26*D26</f>
        <v>0</v>
      </c>
    </row>
    <row ht="13.5" customHeight="1" r="27" spans="1:26">
      <c r="A27" s="58" t="s">
        <v>976</v>
      </c>
      <c r="B27" s="58" t="s">
        <v>977</v>
      </c>
      <c r="C27" s="50">
        <v>20.78</v>
      </c>
      <c r="D27" s="95">
        <v>0.3</v>
      </c>
      <c r="E27" s="96">
        <f>C27*D27</f>
        <v>6.234</v>
      </c>
    </row>
    <row ht="13.5" customHeight="1" r="28" spans="1:26">
      <c r="A28" s="58" t="s">
        <v>978</v>
      </c>
      <c r="B28" s="58" t="s">
        <v>977</v>
      </c>
      <c r="C28" s="50">
        <v>20.78</v>
      </c>
      <c r="D28" s="95">
        <v>0.5</v>
      </c>
      <c r="E28" s="96">
        <f>C28*D28</f>
        <v>10.39</v>
      </c>
    </row>
    <row ht="13.5" customHeight="1" r="29" spans="1:26">
      <c r="A29" s="58" t="s">
        <v>979</v>
      </c>
      <c r="B29" s="58" t="s">
        <v>980</v>
      </c>
      <c r="C29" s="50">
        <v>20.78</v>
      </c>
      <c r="D29" s="95">
        <v>0.5</v>
      </c>
      <c r="E29" s="96">
        <f>C29*D29</f>
        <v>10.39</v>
      </c>
      <c r="R29" s="92"/>
      <c r="S29" s="92"/>
      <c r="T29" s="92"/>
      <c r="U29" s="92"/>
      <c r="V29" s="92"/>
      <c r="W29" s="92"/>
      <c r="X29" s="92"/>
      <c r="Y29" s="92"/>
      <c r="Z29" s="92"/>
    </row>
    <row ht="13.5" customHeight="1" r="30" spans="1:26">
      <c r="A30" s="15" t="s">
        <v>981</v>
      </c>
      <c r="B30" s="15" t="s">
        <v>982</v>
      </c>
      <c r="C30" s="109">
        <v>30.98</v>
      </c>
      <c r="D30" s="110">
        <v>2</v>
      </c>
      <c r="E30" s="108">
        <f>C30*D30</f>
        <v>61.96</v>
      </c>
    </row>
    <row ht="13.5" customHeight="1" r="31" spans="1:26">
      <c r="A31" s="15" t="s">
        <v>983</v>
      </c>
      <c r="B31" s="15" t="s">
        <v>984</v>
      </c>
      <c r="C31" s="109">
        <v>9.46</v>
      </c>
      <c r="D31" s="110">
        <v>6</v>
      </c>
      <c r="E31" s="108">
        <f>C31*D31</f>
        <v>56.76</v>
      </c>
    </row>
    <row ht="13.5" customHeight="1" r="32" spans="1:26">
      <c r="A32" s="15" t="s">
        <v>985</v>
      </c>
      <c r="B32" s="15" t="s">
        <v>984</v>
      </c>
      <c r="C32" s="109">
        <v>8.87</v>
      </c>
      <c r="D32" s="110">
        <v>1.4</v>
      </c>
      <c r="E32" s="108">
        <f>C32*D32</f>
        <v>12.418</v>
      </c>
    </row>
    <row ht="13.5" customHeight="1" r="33" spans="1:26">
      <c r="A33" s="15" t="s">
        <v>986</v>
      </c>
      <c r="B33" s="15" t="s">
        <v>984</v>
      </c>
      <c r="C33" s="109">
        <v>12.02</v>
      </c>
      <c r="D33" s="110">
        <v>1</v>
      </c>
      <c r="E33" s="108">
        <f>C33*D33</f>
        <v>12.02</v>
      </c>
    </row>
    <row ht="13.5" customHeight="1" r="34" spans="1:26">
      <c r="A34" s="15" t="s">
        <v>987</v>
      </c>
      <c r="B34" s="15" t="s">
        <v>872</v>
      </c>
      <c r="C34" s="109">
        <v>129.5</v>
      </c>
      <c r="D34" s="110">
        <v>0.8</v>
      </c>
      <c r="E34" s="108">
        <f>C34*D34</f>
        <v>103.6</v>
      </c>
    </row>
    <row ht="13.5" customHeight="1" r="35" spans="1:26">
      <c r="A35" s="15" t="s">
        <v>988</v>
      </c>
      <c r="B35" s="15" t="s">
        <v>989</v>
      </c>
      <c r="C35" s="109">
        <v>22</v>
      </c>
      <c r="D35" s="110">
        <v>0</v>
      </c>
      <c r="E35" s="108">
        <f>C35*D35</f>
        <v>0</v>
      </c>
    </row>
    <row ht="13.5" customHeight="1" r="36" spans="1:26">
      <c r="A36" s="15" t="s">
        <v>990</v>
      </c>
      <c r="B36" s="15" t="s">
        <v>230</v>
      </c>
      <c r="C36" s="109">
        <v>61.78</v>
      </c>
      <c r="D36" s="110">
        <v>0.5</v>
      </c>
      <c r="E36" s="108">
        <f>C36*D36</f>
        <v>30.89</v>
      </c>
    </row>
    <row ht="13.5" customHeight="1" r="37" spans="1:26">
      <c r="A37" s="15" t="s">
        <v>991</v>
      </c>
      <c r="B37" s="15" t="s">
        <v>336</v>
      </c>
      <c r="C37" s="109">
        <v>37.61</v>
      </c>
      <c r="D37" s="110">
        <v>0</v>
      </c>
      <c r="E37" s="108">
        <f>C37*D37</f>
        <v>0</v>
      </c>
    </row>
    <row ht="13.5" customHeight="1" r="38" spans="1:26">
      <c r="A38" s="15" t="s">
        <v>992</v>
      </c>
      <c r="B38" s="15" t="s">
        <v>336</v>
      </c>
      <c r="C38" s="109">
        <v>8.53</v>
      </c>
      <c r="D38" s="110">
        <v>10</v>
      </c>
      <c r="E38" s="108">
        <f>C38*D38</f>
        <v>85.3</v>
      </c>
    </row>
    <row ht="13.5" customHeight="1" r="39" spans="1:26">
      <c r="A39" s="15" t="s">
        <v>993</v>
      </c>
      <c r="B39" s="15" t="s">
        <v>336</v>
      </c>
      <c r="C39" s="109">
        <v>46.7</v>
      </c>
      <c r="D39" s="110">
        <v>7</v>
      </c>
      <c r="E39" s="108">
        <f>C39*D39</f>
        <v>326.9</v>
      </c>
    </row>
    <row ht="13.5" customHeight="1" r="40" spans="1:26">
      <c r="A40" s="15" t="s">
        <v>994</v>
      </c>
      <c r="B40" s="15" t="s">
        <v>995</v>
      </c>
      <c r="C40" s="109">
        <v>83.93</v>
      </c>
      <c r="D40" s="110">
        <v>0</v>
      </c>
      <c r="E40" s="108"/>
    </row>
    <row ht="13.5" customHeight="1" r="41" spans="1:26">
      <c r="A41" s="15" t="s">
        <v>996</v>
      </c>
      <c r="B41" s="15" t="s">
        <v>230</v>
      </c>
      <c r="C41" s="109">
        <v>85.35</v>
      </c>
      <c r="D41" s="110">
        <v>0.8</v>
      </c>
      <c r="E41" s="108">
        <f>C41*D41</f>
        <v>68.28</v>
      </c>
    </row>
    <row ht="13.5" customHeight="1" r="42" spans="1:26">
      <c r="A42" s="15" t="s">
        <v>997</v>
      </c>
      <c r="B42" s="15" t="s">
        <v>892</v>
      </c>
      <c r="C42" s="109">
        <v>9.7</v>
      </c>
      <c r="D42" s="110">
        <v>0.5</v>
      </c>
      <c r="E42" s="108">
        <f>C42*D42</f>
        <v>4.85</v>
      </c>
    </row>
    <row ht="13.5" customHeight="1" r="43" spans="1:26">
      <c r="A43" s="11" t="s">
        <v>998</v>
      </c>
      <c r="B43" s="15"/>
      <c r="C43" s="109"/>
      <c r="D43" s="110"/>
      <c r="E43" s="108">
        <f>C43*D43</f>
        <v>0</v>
      </c>
    </row>
    <row ht="13.5" customHeight="1" r="44" spans="1:26">
      <c r="A44" s="97" t="s">
        <v>999</v>
      </c>
      <c r="B44" s="97" t="s">
        <v>230</v>
      </c>
      <c r="C44" s="98">
        <v>31.25</v>
      </c>
      <c r="D44" s="99">
        <v>3</v>
      </c>
      <c r="E44" s="100">
        <f>C44*D44</f>
        <v>93.75</v>
      </c>
      <c r="R44" s="92"/>
      <c r="S44" s="92"/>
      <c r="T44" s="92"/>
      <c r="U44" s="92"/>
      <c r="V44" s="92"/>
      <c r="W44" s="92"/>
      <c r="X44" s="92"/>
      <c r="Y44" s="92"/>
      <c r="Z44" s="92"/>
    </row>
    <row ht="13.5" customHeight="1" r="45" spans="1:26">
      <c r="A45" s="15"/>
      <c r="B45" s="15" t="s">
        <v>336</v>
      </c>
      <c r="C45" s="109">
        <v>11.25</v>
      </c>
      <c r="D45" s="110"/>
      <c r="E45" s="108">
        <f>C45*D45</f>
        <v>0</v>
      </c>
    </row>
    <row ht="13.5" customHeight="1" r="46" spans="1:26">
      <c r="A46" s="11" t="s">
        <v>1000</v>
      </c>
      <c r="B46" s="15" t="s">
        <v>230</v>
      </c>
      <c r="C46" s="109">
        <v>38.8</v>
      </c>
      <c r="D46" s="110">
        <v>3</v>
      </c>
      <c r="E46" s="108">
        <f>C46*D46</f>
        <v>116.4</v>
      </c>
    </row>
    <row ht="13.5" customHeight="1" r="47" spans="1:26">
      <c r="A47" s="15" t="s">
        <v>1001</v>
      </c>
      <c r="B47" s="15"/>
      <c r="C47" s="109"/>
      <c r="D47" s="110"/>
      <c r="E47" s="108">
        <f>C47*D47</f>
        <v>0</v>
      </c>
    </row>
    <row ht="13.5" customHeight="1" r="48" spans="1:26">
      <c r="A48" s="15"/>
      <c r="B48" s="15"/>
      <c r="C48" s="109"/>
      <c r="D48" s="110"/>
      <c r="E48" s="108">
        <f>C48*D48</f>
        <v>0</v>
      </c>
    </row>
    <row ht="13.5" customHeight="1" r="49" spans="1:5">
      <c r="A49" s="5" t="s">
        <v>341</v>
      </c>
      <c r="B49" s="15"/>
      <c r="C49" s="15"/>
      <c r="D49" s="23"/>
      <c r="E49" s="44">
        <f>SUM(E5:E48)</f>
        <v>1646.668</v>
      </c>
    </row>
    <row ht="12" customHeight="1" r="50" spans="1:5"/>
    <row ht="12" customHeight="1" r="51" spans="1:5"/>
    <row ht="12" customHeight="1" r="52" spans="1:5"/>
    <row ht="12" customHeight="1" r="53" spans="1:5"/>
    <row ht="12" customHeight="1" r="54" spans="1:5"/>
    <row ht="12" customHeight="1" r="55" spans="1:5"/>
    <row ht="12" customHeight="1" r="56" spans="1:5"/>
    <row ht="12" customHeight="1" r="57" spans="1:5"/>
    <row ht="12" customHeight="1" r="58" spans="1:5"/>
    <row ht="12" customHeight="1" r="59" spans="1:5"/>
    <row ht="12" customHeight="1" r="60" spans="1:5"/>
    <row ht="12" customHeight="1" r="61" spans="1:5"/>
    <row ht="12" customHeight="1" r="62" spans="1:5"/>
    <row ht="12" customHeight="1" r="63" spans="1:5"/>
    <row ht="12" customHeight="1" r="64" spans="1:5"/>
    <row ht="12" customHeight="1" r="65"/>
    <row ht="12" customHeight="1" r="66"/>
    <row ht="12" customHeight="1" r="67"/>
    <row ht="12" customHeight="1" r="68"/>
    <row ht="12" customHeight="1" r="69"/>
    <row ht="12" customHeight="1" r="70"/>
    <row ht="12" customHeight="1" r="71"/>
    <row ht="12" customHeight="1" r="72"/>
    <row ht="12" customHeight="1" r="73"/>
    <row ht="12" customHeight="1" r="74"/>
    <row ht="12" customHeight="1" r="75"/>
    <row ht="12" customHeight="1" r="76"/>
    <row ht="12" customHeight="1" r="77"/>
    <row ht="12" customHeight="1" r="78"/>
    <row ht="12" customHeight="1" r="79"/>
    <row ht="12" customHeight="1" r="80"/>
    <row ht="12" customHeight="1" r="81"/>
    <row ht="12" customHeight="1" r="82"/>
    <row ht="12" customHeight="1" r="83"/>
    <row ht="12" customHeight="1" r="84"/>
    <row ht="12" customHeight="1" r="85"/>
    <row ht="12" customHeight="1" r="86"/>
    <row ht="12" customHeight="1" r="87"/>
    <row ht="12" customHeight="1" r="88"/>
    <row ht="12" customHeight="1" r="89"/>
    <row ht="12" customHeight="1" r="90"/>
    <row ht="12" customHeight="1" r="91"/>
    <row ht="12" customHeight="1" r="92"/>
    <row ht="12" customHeight="1" r="93"/>
    <row ht="12" customHeight="1" r="94"/>
    <row ht="12" customHeight="1" r="95"/>
    <row ht="12" customHeight="1" r="96"/>
    <row ht="12" customHeight="1" r="97"/>
    <row ht="12" customHeight="1" r="98"/>
    <row ht="12" customHeight="1" r="99"/>
    <row ht="12" customHeight="1" r="100"/>
    <row ht="12" customHeight="1" r="101"/>
    <row ht="12" customHeight="1" r="102"/>
    <row ht="12" customHeight="1" r="103"/>
    <row ht="12" customHeight="1" r="104"/>
    <row ht="12" customHeight="1" r="105"/>
    <row ht="12" customHeight="1" r="106"/>
    <row ht="12" customHeight="1" r="107"/>
    <row ht="12" customHeight="1" r="108"/>
    <row ht="12" customHeight="1" r="109"/>
    <row ht="12" customHeight="1" r="110"/>
    <row ht="12" customHeight="1" r="111"/>
    <row ht="12" customHeight="1" r="112"/>
    <row ht="12" customHeight="1" r="113"/>
    <row ht="12" customHeight="1" r="114"/>
    <row ht="12" customHeight="1" r="115"/>
    <row ht="12" customHeight="1" r="116"/>
    <row ht="12" customHeight="1" r="117"/>
    <row ht="12" customHeight="1" r="118"/>
    <row ht="12" customHeight="1" r="119"/>
    <row ht="12" customHeight="1" r="120"/>
    <row ht="12" customHeight="1" r="121"/>
    <row ht="12" customHeight="1" r="122"/>
    <row ht="12" customHeight="1" r="123"/>
    <row ht="12" customHeight="1" r="124"/>
    <row ht="12" customHeight="1" r="125"/>
    <row ht="12" customHeight="1" r="126"/>
    <row ht="12" customHeight="1" r="127"/>
    <row ht="12" customHeight="1" r="128"/>
    <row ht="12" customHeight="1" r="129"/>
    <row ht="12" customHeight="1" r="130"/>
    <row ht="12" customHeight="1" r="131"/>
    <row ht="12" customHeight="1" r="132"/>
    <row ht="12" customHeight="1" r="133"/>
    <row ht="12" customHeight="1" r="134"/>
    <row ht="12" customHeight="1" r="135"/>
    <row ht="12" customHeight="1" r="136"/>
    <row ht="12" customHeight="1" r="137"/>
    <row ht="12" customHeight="1" r="138"/>
    <row ht="12" customHeight="1" r="139"/>
    <row ht="12" customHeight="1" r="140"/>
    <row ht="12" customHeight="1" r="141"/>
    <row ht="12" customHeight="1" r="142"/>
    <row ht="12" customHeight="1" r="143"/>
    <row ht="12" customHeight="1" r="144"/>
    <row ht="12" customHeight="1" r="145"/>
    <row ht="12" customHeight="1" r="146"/>
    <row ht="12" customHeight="1" r="147"/>
    <row ht="12" customHeight="1" r="148"/>
    <row ht="12" customHeight="1" r="149"/>
    <row ht="12" customHeight="1" r="150"/>
    <row ht="12" customHeight="1" r="151"/>
    <row ht="12" customHeight="1" r="152"/>
    <row ht="12" customHeight="1" r="153"/>
    <row ht="12" customHeight="1" r="154"/>
    <row ht="12" customHeight="1" r="155"/>
    <row ht="12" customHeight="1" r="156"/>
    <row ht="12" customHeight="1" r="157"/>
    <row ht="12" customHeight="1" r="158"/>
    <row ht="12" customHeight="1" r="159"/>
    <row ht="12" customHeight="1" r="160"/>
    <row ht="12" customHeight="1" r="161"/>
    <row ht="12" customHeight="1" r="162"/>
    <row ht="12" customHeight="1" r="163"/>
    <row ht="12" customHeight="1" r="164"/>
    <row ht="12" customHeight="1" r="165"/>
    <row ht="12" customHeight="1" r="166"/>
    <row ht="12" customHeight="1" r="167"/>
    <row ht="12" customHeight="1" r="168"/>
    <row ht="12" customHeight="1" r="169"/>
    <row ht="12" customHeight="1" r="170"/>
    <row ht="12" customHeight="1" r="171"/>
    <row ht="12" customHeight="1" r="172"/>
    <row ht="12" customHeight="1" r="173"/>
    <row ht="12" customHeight="1" r="174"/>
    <row ht="12" customHeight="1" r="175"/>
    <row ht="12" customHeight="1" r="176"/>
    <row ht="12" customHeight="1" r="177"/>
    <row ht="12" customHeight="1" r="178"/>
    <row ht="12" customHeight="1" r="179"/>
    <row ht="12" customHeight="1" r="180"/>
    <row ht="12" customHeight="1" r="181"/>
    <row ht="12" customHeight="1" r="182"/>
    <row ht="12" customHeight="1" r="183"/>
    <row ht="12" customHeight="1" r="184"/>
    <row ht="12" customHeight="1" r="185"/>
    <row ht="12" customHeight="1" r="186"/>
    <row ht="12" customHeight="1" r="187"/>
    <row ht="12" customHeight="1" r="188"/>
    <row ht="12" customHeight="1" r="189"/>
    <row ht="12" customHeight="1" r="190"/>
    <row ht="12" customHeight="1" r="191"/>
    <row ht="12" customHeight="1" r="192"/>
    <row ht="12" customHeight="1" r="193"/>
    <row ht="12" customHeight="1" r="194"/>
    <row ht="12" customHeight="1" r="195"/>
    <row ht="12" customHeight="1" r="196"/>
    <row ht="12" customHeight="1" r="197"/>
    <row ht="12" customHeight="1" r="198"/>
    <row ht="12" customHeight="1" r="199"/>
    <row ht="12" customHeight="1" r="200"/>
    <row ht="12" customHeight="1" r="201"/>
    <row ht="12" customHeight="1" r="202"/>
    <row ht="12" customHeight="1" r="203"/>
    <row ht="12" customHeight="1" r="204"/>
    <row ht="12" customHeight="1" r="205"/>
    <row ht="12" customHeight="1" r="206"/>
    <row ht="12" customHeight="1" r="207"/>
    <row ht="12" customHeight="1" r="208"/>
    <row ht="12" customHeight="1" r="209"/>
    <row ht="12" customHeight="1" r="210"/>
    <row ht="12" customHeight="1" r="211"/>
    <row ht="12" customHeight="1" r="212"/>
    <row ht="12" customHeight="1" r="213"/>
    <row ht="12" customHeight="1" r="214"/>
    <row ht="12" customHeight="1" r="215"/>
    <row ht="12" customHeight="1" r="216"/>
    <row ht="12" customHeight="1" r="217"/>
    <row ht="12" customHeight="1" r="218"/>
    <row ht="12" customHeight="1" r="219"/>
    <row ht="12" customHeight="1" r="220"/>
    <row ht="12" customHeight="1" r="221"/>
    <row ht="12" customHeight="1" r="222"/>
    <row ht="12" customHeight="1" r="223"/>
    <row ht="12" customHeight="1" r="224"/>
    <row ht="12" customHeight="1" r="225"/>
    <row ht="12" customHeight="1" r="226"/>
    <row ht="12" customHeight="1" r="227"/>
    <row ht="12" customHeight="1" r="228"/>
    <row ht="12" customHeight="1" r="229"/>
    <row ht="12" customHeight="1" r="230"/>
    <row ht="12" customHeight="1" r="231"/>
    <row ht="12" customHeight="1" r="232"/>
    <row ht="12" customHeight="1" r="233"/>
    <row ht="12" customHeight="1" r="234"/>
    <row ht="12" customHeight="1" r="235"/>
    <row ht="12" customHeight="1" r="236"/>
    <row ht="12" customHeight="1" r="237"/>
    <row ht="12" customHeight="1" r="238"/>
    <row ht="12" customHeight="1" r="239"/>
    <row ht="12" customHeight="1" r="240"/>
    <row ht="12" customHeight="1" r="241"/>
    <row ht="12" customHeight="1" r="242"/>
    <row ht="12" customHeight="1" r="243"/>
    <row ht="12" customHeight="1" r="244"/>
    <row ht="12" customHeight="1" r="245"/>
    <row ht="12" customHeight="1" r="246"/>
    <row ht="12" customHeight="1" r="247"/>
    <row ht="12" customHeight="1" r="248"/>
    <row ht="12" customHeight="1" r="249"/>
    <row ht="15.75" customHeight="1" r="250"/>
    <row ht="15.75" customHeight="1" r="251"/>
    <row ht="15.75" customHeight="1" r="252"/>
    <row ht="15.75" customHeight="1" r="253"/>
    <row ht="15.75" customHeight="1" r="254"/>
    <row ht="15.75" customHeight="1" r="255"/>
    <row ht="15.75" customHeight="1" r="256"/>
    <row ht="15.75" customHeight="1" r="257"/>
    <row ht="15.75" customHeight="1" r="258"/>
    <row ht="15.75" customHeight="1" r="259"/>
    <row ht="15.75" customHeight="1" r="260"/>
    <row ht="15.75" customHeight="1" r="261"/>
    <row ht="15.75" customHeight="1" r="262"/>
    <row ht="15.75" customHeight="1" r="263"/>
    <row ht="15.75" customHeight="1" r="264"/>
    <row ht="15.75" customHeight="1" r="265"/>
    <row ht="15.75" customHeight="1" r="266"/>
    <row ht="15.75" customHeight="1" r="267"/>
    <row ht="15.75" customHeight="1" r="268"/>
    <row ht="15.75" customHeight="1" r="269"/>
    <row ht="15.75" customHeight="1" r="270"/>
    <row ht="15.75" customHeight="1" r="271"/>
    <row ht="15.75" customHeight="1" r="272"/>
    <row ht="15.75" customHeight="1" r="273"/>
    <row ht="15.75" customHeight="1" r="274"/>
    <row ht="15.75" customHeight="1" r="275"/>
    <row ht="15.75" customHeight="1" r="276"/>
    <row ht="15.75" customHeight="1" r="277"/>
    <row ht="15.75" customHeight="1" r="278"/>
    <row ht="15.75" customHeight="1" r="279"/>
    <row ht="15.75" customHeight="1" r="280"/>
    <row ht="15.75" customHeight="1" r="281"/>
    <row ht="15.75" customHeight="1" r="282"/>
    <row ht="15.75" customHeight="1" r="283"/>
    <row ht="15.75" customHeight="1" r="284"/>
    <row ht="15.75" customHeight="1" r="285"/>
    <row ht="15.75" customHeight="1" r="286"/>
    <row ht="15.75" customHeight="1" r="287"/>
    <row ht="15.75" customHeight="1" r="288"/>
    <row ht="15.75" customHeight="1" r="289"/>
    <row ht="15.75" customHeight="1" r="290"/>
    <row ht="15.75" customHeight="1" r="291"/>
    <row ht="15.75" customHeight="1" r="292"/>
    <row ht="15.75" customHeight="1" r="293"/>
    <row ht="15.75" customHeight="1" r="294"/>
    <row ht="15.75" customHeight="1" r="295"/>
    <row ht="15.75" customHeight="1" r="296"/>
    <row ht="15.75" customHeight="1" r="297"/>
    <row ht="15.75" customHeight="1" r="298"/>
    <row ht="15.75" customHeight="1" r="299"/>
    <row ht="15.75" customHeight="1" r="300"/>
    <row ht="15.75" customHeight="1" r="301"/>
    <row ht="15.75" customHeight="1" r="302"/>
    <row ht="15.75" customHeight="1" r="303"/>
    <row ht="15.75" customHeight="1" r="304"/>
    <row ht="15.75" customHeight="1" r="305"/>
    <row ht="15.75" customHeight="1" r="306"/>
    <row ht="15.75" customHeight="1" r="307"/>
    <row ht="15.75" customHeight="1" r="308"/>
    <row ht="15.75" customHeight="1" r="309"/>
    <row ht="15.75" customHeight="1" r="310"/>
    <row ht="15.75" customHeight="1" r="311"/>
    <row ht="15.75" customHeight="1" r="312"/>
    <row ht="15.75" customHeight="1" r="313"/>
    <row ht="15.75" customHeight="1" r="314"/>
    <row ht="15.75" customHeight="1" r="315"/>
    <row ht="15.75" customHeight="1" r="316"/>
    <row ht="15.75" customHeight="1" r="317"/>
    <row ht="15.75" customHeight="1" r="318"/>
    <row ht="15.75" customHeight="1" r="319"/>
    <row ht="15.75" customHeight="1" r="320"/>
    <row ht="15.75" customHeight="1" r="321"/>
    <row ht="15.75" customHeight="1" r="322"/>
    <row ht="15.75" customHeight="1" r="323"/>
    <row ht="15.75" customHeight="1" r="324"/>
    <row ht="15.75" customHeight="1" r="325"/>
    <row ht="15.75" customHeight="1" r="326"/>
    <row ht="15.75" customHeight="1" r="327"/>
    <row ht="15.75" customHeight="1" r="328"/>
    <row ht="15.75" customHeight="1" r="329"/>
    <row ht="15.75" customHeight="1" r="330"/>
    <row ht="15.75" customHeight="1" r="331"/>
    <row ht="15.75" customHeight="1" r="332"/>
    <row ht="15.75" customHeight="1" r="333"/>
    <row ht="15.75" customHeight="1" r="334"/>
    <row ht="15.75" customHeight="1" r="335"/>
    <row ht="15.75" customHeight="1" r="336"/>
    <row ht="15.75" customHeight="1" r="337"/>
    <row ht="15.75" customHeight="1" r="338"/>
    <row ht="15.75" customHeight="1" r="339"/>
    <row ht="15.75" customHeight="1" r="340"/>
    <row ht="15.75" customHeight="1" r="341"/>
    <row ht="15.75" customHeight="1" r="342"/>
    <row ht="15.75" customHeight="1" r="343"/>
    <row ht="15.75" customHeight="1" r="344"/>
    <row ht="15.75" customHeight="1" r="345"/>
    <row ht="15.75" customHeight="1" r="346"/>
    <row ht="15.75" customHeight="1" r="347"/>
    <row ht="15.75" customHeight="1" r="348"/>
    <row ht="15.75" customHeight="1" r="349"/>
    <row ht="15.75" customHeight="1" r="350"/>
    <row ht="15.75" customHeight="1" r="351"/>
    <row ht="15.75" customHeight="1" r="352"/>
    <row ht="15.75" customHeight="1" r="353"/>
    <row ht="15.75" customHeight="1" r="354"/>
    <row ht="15.75" customHeight="1" r="355"/>
    <row ht="15.75" customHeight="1" r="356"/>
    <row ht="15.75" customHeight="1" r="357"/>
    <row ht="15.75" customHeight="1" r="358"/>
    <row ht="15.75" customHeight="1" r="359"/>
    <row ht="15.75" customHeight="1" r="360"/>
    <row ht="15.75" customHeight="1" r="361"/>
    <row ht="15.75" customHeight="1" r="362"/>
    <row ht="15.75" customHeight="1" r="363"/>
    <row ht="15.75" customHeight="1" r="364"/>
    <row ht="15.75" customHeight="1" r="365"/>
    <row ht="15.75" customHeight="1" r="366"/>
    <row ht="15.75" customHeight="1" r="367"/>
    <row ht="15.75" customHeight="1" r="368"/>
    <row ht="15.75" customHeight="1" r="369"/>
    <row ht="15.75" customHeight="1" r="370"/>
    <row ht="15.75" customHeight="1" r="371"/>
    <row ht="15.75" customHeight="1" r="372"/>
    <row ht="15.75" customHeight="1" r="373"/>
    <row ht="15.75" customHeight="1" r="374"/>
    <row ht="15.75" customHeight="1" r="375"/>
    <row ht="15.75" customHeight="1" r="376"/>
    <row ht="15.75" customHeight="1" r="377"/>
    <row ht="15.75" customHeight="1" r="378"/>
    <row ht="15.75" customHeight="1" r="379"/>
    <row ht="15.75" customHeight="1" r="380"/>
    <row ht="15.75" customHeight="1" r="381"/>
    <row ht="15.75" customHeight="1" r="382"/>
    <row ht="15.75" customHeight="1" r="383"/>
    <row ht="15.75" customHeight="1" r="384"/>
    <row ht="15.75" customHeight="1" r="385"/>
    <row ht="15.75" customHeight="1" r="386"/>
    <row ht="15.75" customHeight="1" r="387"/>
    <row ht="15.75" customHeight="1" r="388"/>
    <row ht="15.75" customHeight="1" r="389"/>
    <row ht="15.75" customHeight="1" r="390"/>
    <row ht="15.75" customHeight="1" r="391"/>
    <row ht="15.75" customHeight="1" r="392"/>
    <row ht="15.75" customHeight="1" r="393"/>
    <row ht="15.75" customHeight="1" r="394"/>
    <row ht="15.75" customHeight="1" r="395"/>
    <row ht="15.75" customHeight="1" r="396"/>
    <row ht="15.75" customHeight="1" r="397"/>
    <row ht="15.75" customHeight="1" r="398"/>
    <row ht="15.75" customHeight="1" r="399"/>
    <row ht="15.75" customHeight="1" r="400"/>
    <row ht="15.75" customHeight="1" r="401"/>
    <row ht="15.75" customHeight="1" r="402"/>
    <row ht="15.75" customHeight="1" r="403"/>
    <row ht="15.75" customHeight="1" r="404"/>
    <row ht="15.75" customHeight="1" r="405"/>
    <row ht="15.75" customHeight="1" r="406"/>
    <row ht="15.75" customHeight="1" r="407"/>
    <row ht="15.75" customHeight="1" r="408"/>
    <row ht="15.75" customHeight="1" r="409"/>
    <row ht="15.75" customHeight="1" r="410"/>
    <row ht="15.75" customHeight="1" r="411"/>
    <row ht="15.75" customHeight="1" r="412"/>
    <row ht="15.75" customHeight="1" r="413"/>
    <row ht="15.75" customHeight="1" r="414"/>
    <row ht="15.75" customHeight="1" r="415"/>
    <row ht="15.75" customHeight="1" r="416"/>
    <row ht="15.75" customHeight="1" r="417"/>
    <row ht="15.75" customHeight="1" r="418"/>
    <row ht="15.75" customHeight="1" r="419"/>
    <row ht="15.75" customHeight="1" r="420"/>
    <row ht="15.75" customHeight="1" r="421"/>
    <row ht="15.75" customHeight="1" r="422"/>
    <row ht="15.75" customHeight="1" r="423"/>
    <row ht="15.75" customHeight="1" r="424"/>
    <row ht="15.75" customHeight="1" r="425"/>
    <row ht="15.75" customHeight="1" r="426"/>
    <row ht="15.75" customHeight="1" r="427"/>
    <row ht="15.75" customHeight="1" r="428"/>
    <row ht="15.75" customHeight="1" r="429"/>
    <row ht="15.75" customHeight="1" r="430"/>
    <row ht="15.75" customHeight="1" r="431"/>
    <row ht="15.75" customHeight="1" r="432"/>
    <row ht="15.75" customHeight="1" r="433"/>
    <row ht="15.75" customHeight="1" r="434"/>
    <row ht="15.75" customHeight="1" r="435"/>
    <row ht="15.75" customHeight="1" r="436"/>
    <row ht="15.75" customHeight="1" r="437"/>
    <row ht="15.75" customHeight="1" r="438"/>
    <row ht="15.75" customHeight="1" r="439"/>
    <row ht="15.75" customHeight="1" r="440"/>
    <row ht="15.75" customHeight="1" r="441"/>
    <row ht="15.75" customHeight="1" r="442"/>
    <row ht="15.75" customHeight="1" r="443"/>
    <row ht="15.75" customHeight="1" r="444"/>
    <row ht="15.75" customHeight="1" r="445"/>
    <row ht="15.75" customHeight="1" r="446"/>
    <row ht="15.75" customHeight="1" r="447"/>
    <row ht="15.75" customHeight="1" r="448"/>
    <row ht="15.75" customHeight="1" r="449"/>
    <row ht="15.75" customHeight="1" r="450"/>
    <row ht="15.75" customHeight="1" r="451"/>
    <row ht="15.75" customHeight="1" r="452"/>
    <row ht="15.75" customHeight="1" r="453"/>
    <row ht="15.75" customHeight="1" r="454"/>
    <row ht="15.75" customHeight="1" r="455"/>
    <row ht="15.75" customHeight="1" r="456"/>
    <row ht="15.75" customHeight="1" r="457"/>
    <row ht="15.75" customHeight="1" r="458"/>
    <row ht="15.75" customHeight="1" r="459"/>
    <row ht="15.75" customHeight="1" r="460"/>
    <row ht="15.75" customHeight="1" r="461"/>
    <row ht="15.75" customHeight="1" r="462"/>
    <row ht="15.75" customHeight="1" r="463"/>
    <row ht="15.75" customHeight="1" r="464"/>
    <row ht="15.75" customHeight="1" r="465"/>
    <row ht="15.75" customHeight="1" r="466"/>
    <row ht="15.75" customHeight="1" r="467"/>
    <row ht="15.75" customHeight="1" r="468"/>
    <row ht="15.75" customHeight="1" r="469"/>
    <row ht="15.75" customHeight="1" r="470"/>
    <row ht="15.75" customHeight="1" r="471"/>
    <row ht="15.75" customHeight="1" r="472"/>
    <row ht="15.75" customHeight="1" r="473"/>
    <row ht="15.75" customHeight="1" r="474"/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ageMargins left="0.7" right="0.7" top="1.14375" bottom="1.143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2026-04-22T14:30:20Z</dcterms:created>
  <dcterms:modified xsi:type="dcterms:W3CDTF">2026-04-28T14:12:58Z</dcterms:modified>
  <cp:category/>
  <cp:contentStatus/>
</cp:coreProperties>
</file>